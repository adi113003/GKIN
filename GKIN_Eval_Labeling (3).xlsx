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structions" sheetId="1" state="visible" r:id="rId1"/>
    <sheet xmlns:r="http://schemas.openxmlformats.org/officeDocument/2006/relationships" name="Articles" sheetId="2" state="visible" r:id="rId2"/>
    <sheet xmlns:r="http://schemas.openxmlformats.org/officeDocument/2006/relationships" name="Reference" sheetId="3" state="visible" r:id="rId3"/>
    <sheet xmlns:r="http://schemas.openxmlformats.org/officeDocument/2006/relationships" name="Eval Summary"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0"/>
  <fonts count="13">
    <font>
      <name val="Calibri"/>
      <charset val="1"/>
      <family val="2"/>
      <color theme="1"/>
      <sz val="11"/>
    </font>
    <font>
      <name val="Arial"/>
      <family val="0"/>
      <sz val="10"/>
    </font>
    <font>
      <name val="Arial"/>
      <family val="0"/>
      <sz val="10"/>
    </font>
    <font>
      <name val="Arial"/>
      <family val="0"/>
      <sz val="10"/>
    </font>
    <font>
      <name val="Arial"/>
      <charset val="1"/>
      <family val="0"/>
      <b val="1"/>
      <color rgb="FF2E4057"/>
      <sz val="16"/>
    </font>
    <font>
      <name val="Arial"/>
      <charset val="1"/>
      <family val="0"/>
      <sz val="10"/>
    </font>
    <font>
      <name val="Arial"/>
      <charset val="1"/>
      <family val="0"/>
      <b val="1"/>
      <sz val="10"/>
    </font>
    <font>
      <name val="Arial"/>
      <charset val="1"/>
      <family val="0"/>
      <b val="1"/>
      <color rgb="FFFFFFFF"/>
      <sz val="11"/>
    </font>
    <font>
      <name val="Arial"/>
      <charset val="1"/>
      <family val="0"/>
      <i val="1"/>
      <color rgb="FF999999"/>
      <sz val="10"/>
    </font>
    <font>
      <name val="Arial"/>
      <family val="2"/>
      <sz val="10"/>
    </font>
    <font>
      <name val="Arial"/>
      <charset val="1"/>
      <family val="0"/>
      <b val="1"/>
      <color rgb="FF2E4057"/>
      <sz val="14"/>
    </font>
    <font>
      <name val="Arial"/>
      <charset val="1"/>
      <family val="0"/>
      <b val="1"/>
      <color rgb="FF2E4057"/>
      <sz val="12"/>
    </font>
    <font>
      <name val="Arial"/>
      <charset val="1"/>
      <family val="0"/>
      <i val="1"/>
      <color rgb="FF666666"/>
      <sz val="10"/>
    </font>
  </fonts>
  <fills count="4">
    <fill>
      <patternFill/>
    </fill>
    <fill>
      <patternFill patternType="gray125"/>
    </fill>
    <fill>
      <patternFill patternType="solid">
        <fgColor rgb="FF2E4057"/>
        <bgColor rgb="FF333399"/>
      </patternFill>
    </fill>
    <fill>
      <patternFill patternType="solid">
        <fgColor rgb="FFD5E8F0"/>
        <bgColor rgb="FFCCFFFF"/>
      </patternFill>
    </fill>
  </fills>
  <borders count="5">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diagonal/>
    </border>
    <border>
      <left/>
      <right style="thin">
        <color rgb="FFCCCCCC"/>
      </right>
      <top style="thin">
        <color rgb="FFCCCCCC"/>
      </top>
      <bottom/>
      <diagonal/>
    </border>
    <border>
      <left/>
      <right style="thin">
        <color rgb="FFCCCCCC"/>
      </right>
      <top style="thin">
        <color rgb="FFCCCCCC"/>
      </top>
      <bottom style="thin">
        <color rgb="FFCCCCCC"/>
      </bottom>
      <diagonal/>
    </border>
  </borders>
  <cellStyleXfs count="6">
    <xf numFmtId="0" fontId="0" fillId="0" borderId="0" applyAlignment="1">
      <alignment horizontal="general" vertical="bottom"/>
    </xf>
    <xf numFmtId="0" fontId="3" fillId="0" borderId="0"/>
    <xf numFmtId="0" fontId="3" fillId="0" borderId="0"/>
    <xf numFmtId="0" fontId="3" fillId="0" borderId="0"/>
    <xf numFmtId="0" fontId="3" fillId="0" borderId="0"/>
    <xf numFmtId="0" fontId="0" fillId="0" borderId="0"/>
  </cellStyleXfs>
  <cellXfs count="28">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5" fillId="0" borderId="0" applyAlignment="1" pivotButton="0" quotePrefix="0" xfId="0">
      <alignment horizontal="left" vertical="top" wrapText="1"/>
    </xf>
    <xf numFmtId="0" fontId="6" fillId="0" borderId="0" applyAlignment="1" pivotButton="0" quotePrefix="0" xfId="0">
      <alignment horizontal="general" vertical="bottom"/>
    </xf>
    <xf numFmtId="0" fontId="7" fillId="2" borderId="1" applyAlignment="1" pivotButton="0" quotePrefix="0" xfId="0">
      <alignment horizontal="center" vertical="center" wrapText="1"/>
    </xf>
    <xf numFmtId="0" fontId="5" fillId="0" borderId="1" applyAlignment="1" pivotButton="0" quotePrefix="0" xfId="0">
      <alignment horizontal="left" vertical="top" wrapText="1"/>
    </xf>
    <xf numFmtId="0" fontId="8" fillId="0" borderId="1" applyAlignment="1" pivotButton="0" quotePrefix="0" xfId="0">
      <alignment horizontal="left" vertical="top" wrapText="1"/>
    </xf>
    <xf numFmtId="0" fontId="10" fillId="0" borderId="0" applyAlignment="1" pivotButton="0" quotePrefix="0" xfId="0">
      <alignment horizontal="general" vertical="bottom"/>
    </xf>
    <xf numFmtId="0" fontId="11" fillId="3" borderId="0" applyAlignment="1" pivotButton="0" quotePrefix="0" xfId="0">
      <alignment horizontal="general" vertical="bottom"/>
    </xf>
    <xf numFmtId="0" fontId="6" fillId="0" borderId="1" applyAlignment="1" pivotButton="0" quotePrefix="0" xfId="0">
      <alignment horizontal="left" vertical="top" wrapText="1"/>
    </xf>
    <xf numFmtId="0" fontId="12" fillId="0" borderId="1" applyAlignment="1" pivotButton="0" quotePrefix="0" xfId="0">
      <alignment horizontal="left" vertical="top" wrapText="1"/>
    </xf>
    <xf numFmtId="0" fontId="5" fillId="0" borderId="1"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5" fillId="0" borderId="0" applyAlignment="1" pivotButton="0" quotePrefix="0" xfId="0">
      <alignment horizontal="left" vertical="top" wrapText="1"/>
    </xf>
    <xf numFmtId="0" fontId="6" fillId="0" borderId="0" applyAlignment="1" pivotButton="0" quotePrefix="0" xfId="0">
      <alignment horizontal="general" vertical="bottom"/>
    </xf>
    <xf numFmtId="0" fontId="7" fillId="2" borderId="1" applyAlignment="1" pivotButton="0" quotePrefix="0" xfId="0">
      <alignment horizontal="center" vertical="center" wrapText="1"/>
    </xf>
    <xf numFmtId="0" fontId="5" fillId="0" borderId="1" applyAlignment="1" pivotButton="0" quotePrefix="0" xfId="0">
      <alignment horizontal="left" vertical="top" wrapText="1"/>
    </xf>
    <xf numFmtId="0" fontId="8" fillId="0" borderId="1" applyAlignment="1" pivotButton="0" quotePrefix="0" xfId="0">
      <alignment horizontal="left" vertical="top" wrapText="1"/>
    </xf>
    <xf numFmtId="0" fontId="10" fillId="0" borderId="0" applyAlignment="1" pivotButton="0" quotePrefix="0" xfId="0">
      <alignment horizontal="general" vertical="bottom"/>
    </xf>
    <xf numFmtId="0" fontId="11" fillId="3" borderId="0" applyAlignment="1" pivotButton="0" quotePrefix="0" xfId="0">
      <alignment horizontal="general" vertical="bottom"/>
    </xf>
    <xf numFmtId="0" fontId="6" fillId="0" borderId="1" applyAlignment="1" pivotButton="0" quotePrefix="0" xfId="0">
      <alignment horizontal="left" vertical="top" wrapText="1"/>
    </xf>
    <xf numFmtId="0" fontId="12" fillId="0" borderId="1" applyAlignment="1" pivotButton="0" quotePrefix="0" xfId="0">
      <alignment horizontal="left" vertical="top" wrapText="1"/>
    </xf>
    <xf numFmtId="0" fontId="5" fillId="0" borderId="1" applyAlignment="1" pivotButton="0" quotePrefix="0" xfId="0">
      <alignment horizontal="general" vertical="bottom"/>
    </xf>
    <xf numFmtId="0" fontId="0" fillId="0" borderId="4"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D5E8F0"/>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99999"/>
      <rgbColor rgb="FF003366"/>
      <rgbColor rgb="FF339966"/>
      <rgbColor rgb="FF003300"/>
      <rgbColor rgb="FF333300"/>
      <rgbColor rgb="FF993300"/>
      <rgbColor rgb="FF993366"/>
      <rgbColor rgb="FF333399"/>
      <rgbColor rgb="FF2E405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Unknown Author</author>
  </authors>
  <commentList>
    <comment ref="D1" authorId="0" shapeId="0">
      <text>
        <t>Pick one: manipulative / factual / ambiguous. Target split: 10/10/10.</t>
      </text>
    </comment>
    <comment ref="I1" authorId="0" shapeId="0">
      <text>
        <t>Semicolon-separated: fear_appeal; bandwagon; loaded_language; false_urgency; authority_appeal; whataboutism; black_and_white</t>
      </text>
    </comment>
    <comment ref="J1" authorId="0" shapeId="0">
      <text>
        <t>0-100. How strongly does the article invoke fear in the reader?</t>
      </text>
    </comment>
    <comment ref="P1" authorId="0" shapeId="0">
      <text>
        <t>0-100 aggregate. See scale in Instructions tab.</t>
      </text>
    </comment>
    <comment ref="Q1" authorId="0" shapeId="0">
      <text>
        <t>Bullet list of missing context. One per line.</t>
      </text>
    </comment>
    <comment ref="R1" authorId="0" shapeId="0">
      <text>
        <t>One of the 20 clusters in the Reference tab, or 'none'.</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A1:B29"/>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2" customWidth="1" style="13" min="1" max="1"/>
    <col width="95" customWidth="1" style="13" min="2" max="2"/>
  </cols>
  <sheetData>
    <row r="1" ht="19.7" customHeight="1" s="14">
      <c r="A1" s="15" t="inlineStr">
        <is>
          <t>GKIN Eval Set — Labeling Instructions</t>
        </is>
      </c>
    </row>
    <row r="2" ht="15" customHeight="1" s="14">
      <c r="A2" s="16" t="n"/>
      <c r="B2" s="17" t="n"/>
    </row>
    <row r="3" ht="23.85" customHeight="1" s="14">
      <c r="A3" s="18" t="inlineStr">
        <is>
          <t>Goal</t>
        </is>
      </c>
      <c r="B3" s="17" t="inlineStr">
        <is>
          <t>Hand-label 30 articles across every schema field. This becomes ground truth for measuring Gemini 2.0 Flash accuracy every time the prompt changes.</t>
        </is>
      </c>
    </row>
    <row r="4" ht="15" customHeight="1" s="14">
      <c r="A4" s="16" t="n"/>
      <c r="B4" s="17" t="n"/>
    </row>
    <row r="5" ht="35.05" customHeight="1" s="14">
      <c r="A5" s="18" t="inlineStr">
        <is>
          <t>Step 1 — Calibration round</t>
        </is>
      </c>
      <c r="B5" s="17" t="inlineStr">
        <is>
          <t>All 3 teammates independently label articles 1-3. Do NOT look at each other's answers. When done, compare. If manipulation_index scores differ by more than 15 points, talk it out and write the agreement in the calibration notes below.</t>
        </is>
      </c>
    </row>
    <row r="6" ht="15" customHeight="1" s="14">
      <c r="A6" s="16" t="n"/>
      <c r="B6" s="17" t="n"/>
    </row>
    <row r="7" ht="15" customHeight="1" s="14">
      <c r="A7" s="18" t="inlineStr">
        <is>
          <t>Step 2 — Split the rest</t>
        </is>
      </c>
      <c r="B7" s="17" t="inlineStr">
        <is>
          <t>Articles 4-30 are split 9/9/9 across the three of you. One labeler per article.</t>
        </is>
      </c>
    </row>
    <row r="8" ht="15" customHeight="1" s="14">
      <c r="A8" s="16" t="n"/>
      <c r="B8" s="17" t="n"/>
    </row>
    <row r="9" ht="23.85" customHeight="1" s="14">
      <c r="A9" s="18" t="inlineStr">
        <is>
          <t>Step 3 — Use the Reference tab</t>
        </is>
      </c>
      <c r="B9" s="17" t="inlineStr">
        <is>
          <t>Every column in the Articles tab maps to a field in the Gemini output schema. Keep labels consistent with the controlled vocabularies in the Reference tab.</t>
        </is>
      </c>
    </row>
    <row r="10" ht="15" customHeight="1" s="14">
      <c r="A10" s="16" t="n"/>
      <c r="B10" s="17" t="n"/>
    </row>
    <row r="11" ht="15" customHeight="1" s="14">
      <c r="A11" s="18" t="inlineStr">
        <is>
          <t>Manipulation Index Scale</t>
        </is>
      </c>
      <c r="B11" s="17" t="n"/>
    </row>
    <row r="12" ht="15" customHeight="1" s="14">
      <c r="A12" s="16" t="inlineStr">
        <is>
          <t xml:space="preserve">   0–20</t>
        </is>
      </c>
      <c r="B12" s="17" t="inlineStr">
        <is>
          <t>Straightforward reporting. Wire-service factual coverage.</t>
        </is>
      </c>
    </row>
    <row r="13" ht="15" customHeight="1" s="14">
      <c r="A13" s="16" t="inlineStr">
        <is>
          <t xml:space="preserve">   20–40</t>
        </is>
      </c>
      <c r="B13" s="17" t="inlineStr">
        <is>
          <t>Mild framing. Word choices lean but no persuasion tactics.</t>
        </is>
      </c>
    </row>
    <row r="14" ht="15" customHeight="1" s="14">
      <c r="A14" s="16" t="inlineStr">
        <is>
          <t xml:space="preserve">   40–60</t>
        </is>
      </c>
      <c r="B14" s="17" t="inlineStr">
        <is>
          <t>Noticeable persuasive intent. Emotional language or selective framing.</t>
        </is>
      </c>
    </row>
    <row r="15" ht="15" customHeight="1" s="14">
      <c r="A15" s="16" t="inlineStr">
        <is>
          <t xml:space="preserve">   60–80</t>
        </is>
      </c>
      <c r="B15" s="17" t="inlineStr">
        <is>
          <t>Heavy manipulation. Multiple techniques, fear/anger framing, missing context.</t>
        </is>
      </c>
    </row>
    <row r="16" ht="15" customHeight="1" s="14">
      <c r="A16" s="16" t="inlineStr">
        <is>
          <t xml:space="preserve">   80–100</t>
        </is>
      </c>
      <c r="B16" s="17" t="inlineStr">
        <is>
          <t>Blatant propaganda or clickbait. Stacked persuasion tactics.</t>
        </is>
      </c>
    </row>
    <row r="17" ht="15" customHeight="1" s="14">
      <c r="A17" s="16" t="n"/>
      <c r="B17" s="17" t="n"/>
    </row>
    <row r="18" ht="15" customHeight="1" s="14">
      <c r="A18" s="18" t="inlineStr">
        <is>
          <t>Labeling Rules</t>
        </is>
      </c>
      <c r="B18" s="17" t="n"/>
    </row>
    <row r="19" ht="15" customHeight="1" s="14">
      <c r="A19" s="16" t="inlineStr">
        <is>
          <t xml:space="preserve">   • Only use the 7 persuasion techniques in the controlled vocabulary.</t>
        </is>
      </c>
      <c r="B19" s="17" t="n"/>
    </row>
    <row r="20" ht="15" customHeight="1" s="14">
      <c r="A20" s="16" t="inlineStr">
        <is>
          <t xml:space="preserve">   • Only use the 20 narrative clusters (or 'none').</t>
        </is>
      </c>
      <c r="B20" s="17" t="n"/>
    </row>
    <row r="21" ht="15" customHeight="1" s="14">
      <c r="A21" s="16" t="inlineStr">
        <is>
          <t xml:space="preserve">   • Quote spans exactly as they appear in the article.</t>
        </is>
      </c>
      <c r="B21" s="17" t="n"/>
    </row>
    <row r="22" ht="15" customHeight="1" s="14">
      <c r="A22" s="16" t="inlineStr">
        <is>
          <t xml:space="preserve">   • If a field is genuinely empty, leave it blank.</t>
        </is>
      </c>
      <c r="B22" s="17" t="n"/>
    </row>
    <row r="23" ht="15" customHeight="1" s="14">
      <c r="A23" s="16" t="inlineStr">
        <is>
          <t xml:space="preserve">   • Edge cases go in the notes column.</t>
        </is>
      </c>
      <c r="B23" s="17" t="n"/>
    </row>
    <row r="24" ht="15" customHeight="1" s="14">
      <c r="A24" s="16" t="n"/>
      <c r="B24" s="17" t="n"/>
    </row>
    <row r="25" ht="15" customHeight="1" s="14">
      <c r="A25" s="18" t="inlineStr">
        <is>
          <t>Calibration Notes (fill in after Step 1)</t>
        </is>
      </c>
      <c r="B25" s="17" t="n"/>
    </row>
    <row r="26" ht="15" customHeight="1" s="14">
      <c r="A26" s="16" t="inlineStr">
        <is>
          <t xml:space="preserve">   Agreed definition of 'manipulation_index 60+':</t>
        </is>
      </c>
      <c r="B26" s="17" t="n"/>
    </row>
    <row r="27" ht="15" customHeight="1" s="14">
      <c r="A27" s="16" t="inlineStr">
        <is>
          <t xml:space="preserve">   Agreed definition of 'loaded_language' vs 'fear_appeal':</t>
        </is>
      </c>
      <c r="B27" s="17" t="n"/>
    </row>
    <row r="28" ht="15" customHeight="1" s="14">
      <c r="A28" s="16" t="inlineStr">
        <is>
          <t xml:space="preserve">   Agreed threshold for counting a 'claim':</t>
        </is>
      </c>
      <c r="B28" s="17" t="n"/>
    </row>
    <row r="29" ht="15" customHeight="1" s="14">
      <c r="A29" s="16" t="inlineStr">
        <is>
          <t xml:space="preserve">   Other notes:</t>
        </is>
      </c>
      <c r="B29" s="17" t="n"/>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B3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3" min="1" max="1"/>
    <col width="30" customWidth="1" style="13" min="2" max="3"/>
    <col width="14" customWidth="1" style="13" min="4" max="4"/>
    <col width="40" customWidth="1" style="13" min="5" max="5"/>
    <col width="12" customWidth="1" style="13" min="6" max="7"/>
    <col width="14" customWidth="1" style="13" min="8" max="8"/>
    <col width="32" customWidth="1" style="13" min="9" max="9"/>
    <col width="10" customWidth="1" style="13" min="10" max="14"/>
    <col width="12" customWidth="1" style="13" min="15" max="15"/>
    <col width="14" customWidth="1" style="13" min="16" max="16"/>
    <col width="32" customWidth="1" style="13" min="17" max="17"/>
    <col width="20" customWidth="1" style="13" min="18" max="18"/>
    <col width="14" customWidth="1" style="13" min="19" max="19"/>
    <col width="30" customWidth="1" style="13" min="20" max="20"/>
  </cols>
  <sheetData>
    <row r="1" ht="31.5" customHeight="1" s="14">
      <c r="A1" s="19" t="inlineStr">
        <is>
          <t>id</t>
        </is>
      </c>
      <c r="B1" s="19" t="inlineStr">
        <is>
          <t>url</t>
        </is>
      </c>
      <c r="C1" s="19" t="inlineStr">
        <is>
          <t>title</t>
        </is>
      </c>
      <c r="D1" s="19" t="inlineStr">
        <is>
          <t>category</t>
        </is>
      </c>
      <c r="E1" s="19" t="inlineStr">
        <is>
          <t>full_text</t>
        </is>
      </c>
      <c r="F1" s="19" t="inlineStr">
        <is>
          <t>claims_verifiable</t>
        </is>
      </c>
      <c r="G1" s="19" t="inlineStr">
        <is>
          <t>claims_opinion</t>
        </is>
      </c>
      <c r="H1" s="19" t="inlineStr">
        <is>
          <t>claims_unverifiable</t>
        </is>
      </c>
      <c r="I1" s="19" t="inlineStr">
        <is>
          <t>persuasion_techniques</t>
        </is>
      </c>
      <c r="J1" s="19" t="inlineStr">
        <is>
          <t>emotion_fear</t>
        </is>
      </c>
      <c r="K1" s="19" t="inlineStr">
        <is>
          <t>emotion_anger</t>
        </is>
      </c>
      <c r="L1" s="19" t="inlineStr">
        <is>
          <t>emotion_disgust</t>
        </is>
      </c>
      <c r="M1" s="19" t="inlineStr">
        <is>
          <t>emotion_hope</t>
        </is>
      </c>
      <c r="N1" s="19" t="inlineStr">
        <is>
          <t>emotion_guilt</t>
        </is>
      </c>
      <c r="O1" s="19" t="inlineStr">
        <is>
          <t>emotion_ingroup</t>
        </is>
      </c>
      <c r="P1" s="19" t="inlineStr">
        <is>
          <t>manipulation_index</t>
        </is>
      </c>
      <c r="Q1" s="19" t="inlineStr">
        <is>
          <t>missing_context</t>
        </is>
      </c>
      <c r="R1" s="19" t="inlineStr">
        <is>
          <t>narrative_cluster</t>
        </is>
      </c>
      <c r="S1" s="19" t="inlineStr">
        <is>
          <t>labeler</t>
        </is>
      </c>
      <c r="T1" s="19" t="inlineStr">
        <is>
          <t>notes</t>
        </is>
      </c>
      <c r="U1" s="13" t="inlineStr">
        <is>
          <t>gemini_manipulation_index</t>
        </is>
      </c>
      <c r="V1" s="13" t="inlineStr">
        <is>
          <t>gemini_narrative_cluster</t>
        </is>
      </c>
      <c r="W1" s="13" t="inlineStr">
        <is>
          <t>gemini_persuasion_count</t>
        </is>
      </c>
      <c r="X1" s="13" t="inlineStr">
        <is>
          <t>gemini_claims_count</t>
        </is>
      </c>
      <c r="Y1" t="inlineStr">
        <is>
          <t>groq_manipulation_index</t>
        </is>
      </c>
      <c r="Z1" t="inlineStr">
        <is>
          <t>groq_narrative_cluster</t>
        </is>
      </c>
      <c r="AA1" t="inlineStr">
        <is>
          <t>groq_persuasion_count</t>
        </is>
      </c>
      <c r="AB1" t="inlineStr">
        <is>
          <t>groq_claims_count</t>
        </is>
      </c>
    </row>
    <row r="2" ht="15" customHeight="1" s="14">
      <c r="A2" s="20" t="n">
        <v>1</v>
      </c>
      <c r="B2" s="20" t="inlineStr">
        <is>
          <t>https://apnews.com/article/iran-us-israel-trump-lebanon-april-7-2026-421ee64fdc9a5c26460df8119c7d1b3f</t>
        </is>
      </c>
      <c r="C2" s="20" t="inlineStr">
        <is>
          <t>Trump warns a 'whole civilization will die tonight' if a deal with Iran isn't reached</t>
        </is>
      </c>
      <c r="D2" s="21" t="inlineStr">
        <is>
          <t>factual</t>
        </is>
      </c>
      <c r="E2" s="20" t="inlineStr">
        <is>
          <t>Trump warns a ‘whole civilization will die tonight’ if a deal with Iran isn’t reached
Trump warns a ‘whole civilization will die tonight’ if a deal with Iran isn’t reached
TEHRAN, Iran (AP) — U.S. President Donald Trump threatened Tuesday that a “whole civilization will die tonight” if Iran fails to meet his latest deadline to strike a deal that includes reopening the Strait of Hormuz, while the Islamic Republic urged young people to form human chains around power plants and other potential targets.
Trump’s expansive threat did not seem to account for potential harm to civilians, prompting Democrats in Congress, some United Nations officials and scholars in military law to say such strikes would violate international law.
Tehran’s representative at the U.N., Amir-Saeid Iravani, said the threats “constitute incitement to war crimes and potentially genocide” and that Iran would “take immediate and proportionate reciprocal measures” if Trump launches devastating strikes.
Pakistan’s prime minister urged Trump to extend his deadline for Iran by two weeks, to allow diplomacy to advance. In a post on X, Shehbaz Sharif also asked Iran to open up the strait for two weeks.
Even before the deadline, airstrikes hit two bridges and a train station, and the U.S. hit military infrastructure on Kharg Island. It was the second time American forces struck the island, a key hub for Iranian oil production.
Trump has extended deadlines before
Since the war began, Trump has repeatedly imposed deadlines linked to threats, only to extend them. But the president insisted this one is final and will expire at 8 p.m. in Washington without a major diplomatic breakthrough.
He has also offered contradictory statements about what might actually happen.
Trump has made reopening the strait — through which a fifth of the world’s oil transits in peacetime — part of avoiding wider attacks and suggested that the waterway is not as vital to U.S. oil interests as it is to other countries. He has also said he would be willing to deploy ground troops to seize Iranian oil, while maintaining that major combat operations in that country could soon conclude.
That means the next moves by the U.S. are largely a mystery, even as rhetoric on both sides has reached a fever pitch.
Meanwhile, Iran’s president said 14 million people, including himself, have volunteered to fight. That’s despite Trump saying that U.S. forces could wipe out all bridges in Iran in a matter of hours and reduce all power plants to smoking rubble in roughly the same time frame. He also suggested the entire country could be wiped off the map.
New strikes may not have been linked to Trump’s larger threats
It was not clear if the latest airstrikes were linked to Trump’s threats to widen the civilian target list. At least two of the targets were connected to Iran’s rail network, and Israeli Prime Minister Benjamin Netanyahu said Israeli warplanes struck bridges and railways in Iran.
Tehran fired on Israel and Saudi Arabia, prompting the temporary closure of a major bridge.
AP correspondent Charles de Ledesma reports Iran’s leader, who is calling for human chains around power plants as President Trump’s deadline nears, says millions of Iranians have answered calls to volunteer to fight should there be a ground invasion by the U.S.
While Iran cannot match the sophistication of U.S. and Israeli weaponry or their dominance in the air, its chokehold on the strait is roiling the world economy and raising the pressure on Trump both at home and abroad to find a way out of the standoff.
Officials involved in diplomatic efforts said talks were ongoing, but Iran has rejected the latest American proposal.
Trump keeps an off-ramp open
“A whole civilization will die tonight, never to be brought back again,” if a deal isn’t reached, Trump said in an online post Tuesday morning. But he also seemed to keep open the possibility of an off-ramp, saying that “maybe something revolutionarily wonderful can happen.”
Earlier, Iranian official Alireza Rahimi issued a video message calling on “all young people, athletes, artists, students and university students and their professors” to form human chains around power plants.
Iranians have formed human chains in the past around nuclear sites at times of heightened tensions with the West. State media posted videos online that showed hundreds of flag-waving people massed at two bridges and at a power plant hundreds of kilometers (miles) from Tehran, though it was not clear how widespread the practice was.
President Masoud Pezeshkian posted on X that 14 million Iranians had answered campaigns urging people to volunteer to fight — and said he would join them — while a Revolutionary Guard general urged parents to send their children to man checkpoints.
The Guard warned that Iran would “deprive the U.S. and its allies of the region’s oil and gas for years” and expand its attacks across the Gulf region if Trump carries out his threat.
In Tehran, the mood was bleak. A young teacher said that many opponents of Iran’s Islamic system had hoped Trump’s attacks would quickly topple it.
As the war drags on, she fears U.S. and Israeli strikes will spread chaos.
“If we don’t have the internet, and if we don’t have electricity, water, and gas, we’re really going back to the Stone Age, as Trump said,” she told The Associated Press, speaking on the condition of anonymity for her safety.
Growing criticism of threats
A growing chorus of international voices took exception to Trump’s threats against Iran.
In Rome, Pope Leo XIV said Tuesday that the threats were “truly unacceptable” and that such attacks would violate international law. In some of his strongest comments yet against the war, Leo urged Americans and others to demand that political leaders reject war and work for peace.
French Foreign Minister Jean-Noël Barrot said that attacks targeting civilian and energy infrastructure could constitute a war crime. Such cases are notoriously difficult to prosecute. Trump has said he’s “not at all” concerned about committing war crimes.
Volker Türk, the U.N. high commissioner for human rights, said he deplored the rhetoric being used over the last two weeks “by all parties, including the latest threats to annihilate a whole civilization and to target civilian infrastructure.”
Airstrikes hit Iran, which fires on Saudi Arabia and Israel
Intense airstrikes pounded Tehran, including in residential neighborhoods. In the past, such strikes have targeted Iranian government and security officials.
The Israeli military said it attacked an Iranian petrochemical site in Shiraz, the second day in a row it hit such a facility. The military later said it also struck bridges in Tehran, Karaj, Tabriz, Kashan and Qom that were being used by Iranian forces to transport weapons and military equipment.
A U.S. official, who spoke on condition of anonymity to discuss sensitive military operations, described the strikes on Kharg Island as hitting targets previously struck and not directed at oil infrastructure.
Saudi Arabia said it intercepted seven ballistic missiles and four drones launched by Iran. Saudi Arabia also temporarily closed the King Fahd Causeway, the only road connection between Bahrain, home to the U.S. Navy’s 5th Fleet, and the Arabian Peninsula. Iran also fired on Israel.
More than 1,900 people have been killed in Iran since the war began, but the government has not updated the toll for days.
In Lebanon, where Israel is fighting Iran-backed Hezbollah militants, more than 1,500 people have been killed. and more than 1 million people have been displaced. Eleven Israeli soldiers have died there.
In Gulf Arab states and the occupied West Bank, more than two dozen people have died, while 23 have been reported dead in Israel, and 13 U.S. service members have been killed.
Chokehold on the Strait of Hormuz
Iran effectively blocked shipping through the strait after Israel and the U.S. attacked in February. That, and Iran’s attacks on the energy infrastructure of its Gulf Arab neighbors, have sent oil prices skyrocketing, raising the price of gasoline, food and other basics far beyond the Middle East.
Tehran has rejected a 45-day ceasefire proposal, saying it wants a permanent end to the war. But as Trump’s deadline neared, an official said indirect communications between the United States and Iran remained underway. The official spoke on condition of anonymity to discuss ongoing diplomacy.
___
Gambrell reported from Dubai, United Arab Emirates. Corder reported from The Hague, Netherlands, and Magdy reported from Cairo. Associated Press writers David Rising in Bangkok; John Leicester in Paris; Rod McGuirk in Melbourne, Australia; Natalie Melzer in Jerusalem; and Konstantin Toropin, Seung Min Kim, Michelle L. Price and Will Weissert in Washington contributed to this report.</t>
        </is>
      </c>
      <c r="F2" s="20" t="n"/>
      <c r="G2" s="20" t="n"/>
      <c r="H2" s="20" t="n"/>
      <c r="I2" s="20" t="n"/>
      <c r="J2" s="20" t="n"/>
      <c r="K2" s="20" t="n"/>
      <c r="L2" s="20" t="n"/>
      <c r="M2" s="20" t="n"/>
      <c r="N2" s="20" t="n"/>
      <c r="O2" s="20" t="n"/>
      <c r="P2" s="20" t="n"/>
      <c r="Q2" s="20" t="n"/>
      <c r="R2" s="20" t="n"/>
      <c r="S2" s="20" t="n"/>
      <c r="T2" s="20" t="n"/>
      <c r="Y2" t="n">
        <v>60</v>
      </c>
      <c r="Z2" t="inlineStr">
        <is>
          <t>geopolitical_blame</t>
        </is>
      </c>
      <c r="AA2" t="n">
        <v>10</v>
      </c>
      <c r="AB2" t="n">
        <v>16</v>
      </c>
    </row>
    <row r="3" ht="15" customHeight="1" s="14">
      <c r="A3" s="20" t="n">
        <v>2</v>
      </c>
      <c r="B3" s="20" t="inlineStr">
        <is>
          <t>https://apnews.com/article/trump-iran-deadline-final-strait-hormuz-1c0894ef4a2c2feaabc326cc68571c33</t>
        </is>
      </c>
      <c r="C3" s="20" t="inlineStr">
        <is>
          <t>Trump has delayed several deadlines for Iran, but Tuesday's nears with his most menacing threat</t>
        </is>
      </c>
      <c r="D3" s="21" t="inlineStr">
        <is>
          <t>factual</t>
        </is>
      </c>
      <c r="E3" s="20" t="inlineStr">
        <is>
          <t>Trump has delayed several deadlines for Iran, but Tuesday’s nears with his most menacing threat
Trump has delayed several deadlines for Iran, but Tuesday’s nears with his most menacing threat
WASHINGTON (AP) — President Donald Trump has repeatedly pushed back deadlines for Iran to cut a deal or open the Strait of Hormuz, but his latest deadline for Tuesday came with his most perilous threat yet: “a whole civilization will die tonight, never to be brought back again.”
Trump’s previous deadline was weeks ago, but it was postponed several times as the Republican president oscillated between heated threats, announced delays and proclamations that the negotiations were going well, sometimes in the same statement.
That was true in Trump’s Truth Social post before his Tuesday 8 p.m. ET deadline. After threatening a “whole civilization,” Trump said Iran’s new leaders were more reasonable and “maybe something revolutionarily wonderful can happen, WHO KNOWS?”
Officials involved in diplomatic efforts said talks continued, but it was unclear if a deal would be reached by the deadline, which Trump has suggested was final. Trump raised the ante on his threats from Monday.
“They’ll have no bridges,” he wrote. “They’ll have no power plants. They’ll have no anything.”
U.N. Secretary-General António Guterres warned the U.S. that attacks on civilian infrastructure are banned under international law, according to his office. Trump, speaking with reporters, said he’s “not at all” concerned about committing war crimes with such attacks.
So how did Trump’s deadline delays and threats escalate over the last weeks?
An ultimatum about reopening the Strait of Hormuz
On March 21, Trump posted on Truth Social that the U.S. would “hit and obliterate” Iranian power plants if it did not fully reopen the strait within 48 hours.
Iran had until the evening of March 23.
Then 12 hours before the deadline, Trump took to Truth Social to share what seemed good news: that both countries had productive conversations toward concluding the conflict.
He wrote that he had instructed the Pentagon to postpone any strikes on Iranian power plants and energy infrastructure for five days, to give more time for talks.
That pushed the deadline out to the end of that week.
A threat to target desalinization plants
Before that deadline, on March 26, Trump doubled down on his threats on Truth Social: “They better get serious soon, before it is too late, because once that happens, there is NO TURNING BACK, and it won’t be pretty!”
But later that day, he extended the deadline for 10 more days, to April 6 at 8 p.m. Eastern, and said on Truth Social that negotiations were “going very well.”
On March 30, Trump put out a mixed statement: celebrating progress in the talks with Iran while also expanding his threatened bombing if a deal wasn’t “shortly reached,” adding that “it probably will be.”
“We will conclude our lovely ‘stay’ in Iran by blowing up and completely obliterating all of their Electric Generating Plants, Oil Wells and Kharg Island (and possibly all desalinization plants!),” he wrote.
It’s unclear how soon “shortly reached” meant for Trump, but a deal was not made as the deadline loomed.
An expletive-filled threat to attack power plants and bridges
“Remember when I gave Iran ten days to MAKE A DEAL or OPEN UP THE HORMUZ STRAIT,” Trump said in a Truth Social post on Saturday, “Time is running out - 48 hours before all Hell will reign down on them.” He meant rain down.
As the deadline approached, his posts had doubled down on his threats until Sunday, when Trump pushed it again in an expletive-filled post.
“Tuesday will be Power Plant Day, and Bridge Day, all wrapped up in one, in Iran. There will be nothing like it!!! Open the F——-in’ Strait, you crazy bastards, or you’ll be living in Hell,” Trump said on Truth Social, followed by another post that specified 8 p.m. as the deadline.
Trump then suggested on Monday that Tuesday’s deadline would be final, saying he’d already given Iran enough extensions.
“The entire country can be taken out in one night, and that night might be tomorrow night,” Trump said. “We have a plan, because of the power of our military, where every bridge in Iran will be decimated by 12 o’clock tomorrow night.”
By Tuesday morning, Trump had sent his statement saying “a whole civilization will die tonight,” to which he added that “I don’t want that to happen, but it probably will.”
What’s next for diplomacy with Iran?
Mojtaba Ferdousi Pour, head of Iran’s diplomatic mission in Cairo, said Iran no longer trusts the Trump administration after the U.S. bombed the Islamic Republic twice during previous rounds of talks.
“We only accept an end of the war with guarantees that we won’t be attacked again,” he told The Associated Press.
The talks were continuing as the 8 p.m. Tuesday deadline — 3:30 a.m. Wednesday in Iran — ticked closer.</t>
        </is>
      </c>
      <c r="F3" s="20" t="n"/>
      <c r="G3" s="20" t="n"/>
      <c r="H3" s="20" t="n"/>
      <c r="I3" s="20" t="n"/>
      <c r="J3" s="20" t="n"/>
      <c r="K3" s="20" t="n"/>
      <c r="L3" s="20" t="n"/>
      <c r="M3" s="20" t="n"/>
      <c r="N3" s="20" t="n"/>
      <c r="O3" s="20" t="n"/>
      <c r="P3" s="20" t="n"/>
      <c r="Q3" s="20" t="n"/>
      <c r="R3" s="20" t="n"/>
      <c r="S3" s="20" t="n"/>
      <c r="T3" s="20" t="n"/>
      <c r="Y3" t="n">
        <v>70</v>
      </c>
      <c r="Z3" t="inlineStr">
        <is>
          <t>geopolitical_blame</t>
        </is>
      </c>
      <c r="AA3" t="n">
        <v>6</v>
      </c>
      <c r="AB3" t="n">
        <v>8</v>
      </c>
    </row>
    <row r="4" ht="15" customHeight="1" s="14">
      <c r="A4" s="20" t="n">
        <v>3</v>
      </c>
      <c r="B4" s="20" t="inlineStr">
        <is>
          <t>https://apnews.com/article/west-virginia-morrisey-vetoes-foster-care-tax-cuts-53d7999ddf3a82d91776669678d6ecf9</t>
        </is>
      </c>
      <c r="C4" s="20" t="inlineStr">
        <is>
          <t>West Virginia governor vetoes help for neglected and foster kids after approving tax cuts</t>
        </is>
      </c>
      <c r="D4" s="21" t="inlineStr">
        <is>
          <t>factual</t>
        </is>
      </c>
      <c r="E4" s="20" t="inlineStr">
        <is>
          <t>West Virginia governor vetoes help for neglected and foster kids after approving tax cuts
Gov. Patrick Morrisey vetoed a handful of bills meant to help vulnerable West Virginians just days after signing a 5% reduction to the personal income tax.
Between the tax cut and aligning some of the state’s business taxes with cuts made by the Trump Administration, the state will be forgoing $230 million in revenue annually.
But the governor balked at the expense of providing help for foster children aging out of the system, home blood pressure monitoring to Medicaid patients or research into new drug treatment options.
In all, he vetoed a dozen bills.
Both the bill to help foster kids transition out of care and another vetoed bill, focused on preventing them from ending up there, would likely have saved the state money in the long run.
The foster care transition bill — which passed both the House and Senate with nearly unanimous approval — would have expanded a statewide pilot program that offers former foster kids help with independent living, finding work, or enrolling in higher education.
A Mountain State Spotlight investigation published last year found the state was failing to spend federal money meant to help former foster kids, and many were unaware of the independent living services the state provides.
Morrisey’s Department of Human Services estimated the bill would cost about $11 million when fully implemented. Morrisey wrote in his veto letter that the bill “contains uncontrollable cost drivers.”
“The problem is that the bill requires the Department of Human Services to expand services that are already being offered through its Independent Living and Transitional Living programs, and this expansion will cost at least $5,000,000 in the first year,” he wrote.
As bill sponsor Del. Adam Burkhammer, R-Lewis, pointed out during a February committee meeting, not providing these kids with support now will likely mean more expensive problems in the future.
“If we’re not going to support housing them here, there’s a high probability we’re going to be housing them in one of our jails or prisons,” he said.
While he didn’t cite cost as a reason, Morrisey also vetoed a bill aimed at preventing kids from entering foster care in the first place.
“An economic need does not translate to abuse and neglect, and it is disconcerting to see that kind of linkage here. The insertion of the state into the family should only occur when children are truly at risk,” he wrote.
But research does show that impoverished families are more likely to have their kids removed, because poverty is often misperceived as neglect. That’s why researchers often advocate for measures that raise families out of poverty as a way to help overall child welfare.
“I think anti-poverty policy is child protection policy,” UC-Irvine sociology professor Kelley Fong told Mountain State Spotlight earlier this year.
Every year, more than 1,000 West Virginia kids are removed from their parents solely because of neglect, according to federal data. Another 200 are removed only because of inadequate housing.
The governor also vetoed legislation that mandated the release of funds collected by the state’s medical marijuana program, $5 million of which would have funded a commission to help with thousands of child abuse and neglect court cases.
Morrisey’s office said that his administration is trying to both meet needs of vulnerable populations and cut taxes. He said several vetoes were because costs of the programs were open-ended or lacked a clear focus.
“Families are dealing with higher costs across the board and letting them keep more of what they earn is one of the most direct ways we can help,” spokesman Lars Dalseide wrote in an email.
The West Virginia Center on Budget and Policy estimates 80% of the state’s population will receive between $4 and $144.50 a year from the income tax cut. And while aligning the state taxes with federal taxes would increase the child care tax credits, it’s mostly businesses that are seeing the relief.
___
This story was originally published by Mountain State Spotlight and distributed through a partnership with The Associated Press.</t>
        </is>
      </c>
      <c r="F4" s="20" t="n"/>
      <c r="G4" s="20" t="n"/>
      <c r="H4" s="20" t="n"/>
      <c r="I4" s="20" t="n"/>
      <c r="J4" s="20" t="n"/>
      <c r="K4" s="20" t="n"/>
      <c r="L4" s="20" t="n"/>
      <c r="M4" s="20" t="n"/>
      <c r="N4" s="20" t="n"/>
      <c r="O4" s="20" t="n"/>
      <c r="P4" s="20" t="n"/>
      <c r="Q4" s="20" t="n"/>
      <c r="R4" s="20" t="n"/>
      <c r="S4" s="20" t="n"/>
      <c r="T4" s="20" t="n"/>
      <c r="Y4" t="n">
        <v>50</v>
      </c>
      <c r="Z4" t="inlineStr">
        <is>
          <t>none</t>
        </is>
      </c>
      <c r="AA4" t="n">
        <v>4</v>
      </c>
      <c r="AB4" t="n">
        <v>8</v>
      </c>
    </row>
    <row r="5" ht="15" customHeight="1" s="14">
      <c r="A5" s="20" t="n">
        <v>4</v>
      </c>
      <c r="B5" s="20" t="inlineStr">
        <is>
          <t>https://www.aljazeera.com/sports/2026/4/7/fifa-opens-disciplinary-probe-against-spanish-fa-after-islamaphobic-chants</t>
        </is>
      </c>
      <c r="C5" s="20" t="inlineStr">
        <is>
          <t>FIFA opens disciplinary probe against Spanish FA after Islamaphobic chants</t>
        </is>
      </c>
      <c r="D5" s="21" t="inlineStr">
        <is>
          <t>factual</t>
        </is>
      </c>
      <c r="E5" s="20" t="inlineStr">
        <is>
          <t>World football’s governing body, FIFA, has opened disciplinary proceedings against the Spanish football federation over anti-Muslim chants heard at a recent match between Spain and Egypt.
A section of fans at the RCDE stadium in Barcelona had chanted, “Whoever doesn’t jump is a Muslim”, during the international friendly on March 31.
Recommended Stories
list of 4 items- list 1 of 4Bangladesh appoints Tamim Iqbal as country’s youngest cricket chief
- list 2 of 4Australian and IPL cricket great David Warner charged with drink-driving
- list 3 of 4Pakistan cricketer Fakhar Zaman handed two-match PSL ban for ball tampering
- list 4 of 4Pakistan cricketer Shah’s post on Chief Minister Nawaz costs him $71,000
“FIFA has opened disciplinary proceedings today against the Spanish FA for the incidents in the friendly against Egypt,” the governing body said in a statement on Tuesday.
It was the latest in a string of similar incidents to overshadow Spanish football in recent years, with Real Madrid’s Brazilian forward Vinicius Junior in particular repeatedly racially abused.
Last week, Spanish police said they were investigating “Islamophobic and xenophobic” chants, and Prime Minister Pedro Sanchez condemned an “unacceptable” incident while insisting that an “uncivil minority” would not be allowed to tarnish the country.
The Spanish Football Federation had also condemned the chants while Spain forward Lamine Yamal, who is Muslim and played in the match, blasted “a lack of respect” by those who are “ignorant and racist”.
Adding that he felt the chants were disrespectful and intolerable, Barcelona star, Yamal, said it didn’t matter that he was not targeted.
Real Madrid coach Alvaro Arbeloa said he does not believe that Spain was a tolerant country and not racist.
“If it was [racist], we would have a problem every weekend at all of the stadiums,” the Spaniard told reporters about his homeland.</t>
        </is>
      </c>
      <c r="F5" s="20" t="n"/>
      <c r="G5" s="20" t="n"/>
      <c r="H5" s="20" t="n"/>
      <c r="I5" s="20" t="n"/>
      <c r="J5" s="20" t="n"/>
      <c r="K5" s="20" t="n"/>
      <c r="L5" s="20" t="n"/>
      <c r="M5" s="20" t="n"/>
      <c r="N5" s="20" t="n"/>
      <c r="O5" s="20" t="n"/>
      <c r="P5" s="20" t="n"/>
      <c r="Q5" s="20" t="n"/>
      <c r="R5" s="20" t="n"/>
      <c r="S5" s="20" t="n"/>
      <c r="T5" s="20" t="n"/>
      <c r="Y5" t="n">
        <v>40</v>
      </c>
      <c r="Z5" t="inlineStr">
        <is>
          <t>none</t>
        </is>
      </c>
      <c r="AA5" t="n">
        <v>3</v>
      </c>
      <c r="AB5" t="n">
        <v>9</v>
      </c>
    </row>
    <row r="6" ht="15" customHeight="1" s="14">
      <c r="A6" s="20" t="n">
        <v>5</v>
      </c>
      <c r="B6" s="20" t="inlineStr">
        <is>
          <t>https://www.aljazeera.com/news/2026/4/7/no-end-in-sight-if-trump-acts-on-threat-to-destroy-iran-infrastructure</t>
        </is>
      </c>
      <c r="C6" s="20" t="inlineStr">
        <is>
          <t>‘No end in sight’ if Trump acts on threat to destroy Iran infrastructure</t>
        </is>
      </c>
      <c r="D6" s="21" t="inlineStr">
        <is>
          <t>factual</t>
        </is>
      </c>
      <c r="E6" s="20" t="inlineStr">
        <is>
          <t>Iranians form human chains across bridges, at power plants
Washington, DC – As the clock ticks down on US President Donald Trump’s “deadline” for Iran, analysts warn that further escalation may prolong and expand the conflict with the Middle Eastern country and is unlikely to lead to a swift victory for the United States.
Trump has been intensifying his threats, warning that the US military will destroy Iran’s power plants and bridges as well as other vital civilian infrastructure as the US-Israel war on Iran enters its sixth week.
Recommended Stories
list of 3 items- list 1 of 3Fire erupts near industrial site in Saudi Arabia after Iranian strikes
- list 2 of 3Top university says US-Israel attack targeted Iran’s progress, AI learning
- list 3 of 3US denies nuclear plan as deadline on threat to Iran ‘civilisation’ looms
Naveed Shah, political director at Common Defense, an advocacy group led by US military veterans, said if the already regional war is not brought to an end soon, “there’s no end in sight as to how far” it will spread.
“Attacking infrastructure will not end this war faster. If anything, it will make it go on much longer. And what we need to do is find an off-ramp, find a way to be able to declare some sort of victory and find a way out,” Shah told Al Jazeera.
Iran, which has already been attacking Gulf countries since the start of the war, has warned of severe retaliation if its civilian infrastructure is attacked. Analysts say Tehran may target energy and power facilities across the region, further raising oil and gas prices.
Several Iranian officials have ruled out reopening the Strait of Hormuz under Trump’s threats.
Brian Finucane, an analyst at the International Crisis Group and former adviser at the US Department of State, said beyond being illegal, attacks on civilian infrastructure in Iran are unlikely to help Trump achieve his goals – namely, reopening Hormuz.
“It’s hard to see this lead to some quick US victory,” said Finucane.
“I don’t see even the infliction of war crimes and further mass destruction on Iran as somehow automatically opening up the strait. Instead, it is likely to lead to counter-escalation by Iran against regional energy infrastructure.”
‘Even higher gas prices’
The supply pressure from closing Hormuz is being felt in the US, where petrol prices have gone up to more than $4.11 per gallon (3.8 litres) from less than $3 before the war.
“The president is really animated by the economic fallout of this unnecessary war, including particularly in the form of higher gas prices,” Finucane told Al Jazeera.
“Well, escalating attacks against Iran and then having Iran escalate attacks against its neighbours is a recipe for even higher gas prices.”
Trump has set Tuesday at 8pm in Washington, DC (00:00 GMT) as the “final” deadline for Iran to reopen Hormuz or face widespread destruction.
The US president threatened that the “whole civilisation will die” after the deadline passes.
Earlier on Tuesday, Qatar, which has come under Iranian fire, warned that prolonging the war benefits no one.
Qatar’s Foreign Ministry spokesperson Majed al-Ansari said “unchecked” escalation could take the conflict to a point where it cannot be controlled.
“The infringement on our sovereignty by Iran cannot be explained or justified in any way,” al-Ansari told reporters.
“The continuation of this war in this way will only mean more costs for the people of the region, for international peace and security, for the international economy, for international energy markets, and there are no winners in the continuation of this war.”
While a diplomatic breakthrough cannot be ruled out in the coming hours, the Israeli military started targeting Iranian civilian infrastructure before the deadline on Tuesday, saying that it bombed railways and at least eight bridges across the country.
Trump’s threats
Negar Mortazavi, a senior fellow at the Center for International Policy, said more threats and attacks by Trump will only lead to more resistance by Iran.
“Maximum pressure has not produced surrender from Iran since the first term of President Trump. In fact, it has produced the exact opposite, as the Iranians say maximum resistance, and that is why we are here,” Mortazavi told Al Jazeera.
In 2018, Trump nixed the multilateral deal that saw Iran scale back its nuclear programme in exchange for lifting sanctions against its economy. Since then, the US has been piling economic penalties against Iran.
In June 2025, Israel launched a war against Iran, and the US joined in, attacking the country’s nuclear facilities.
But Tehran has remained defiant, insisting on its right to enrich uranium domestically as part of a civil nuclear programme and rejecting discussing limits to its missile development.
Even after US-Israeli attacks killed Iran’s Supreme Leader Ali Khamenei and other top officials in the ongoing round of violence, Tehran has refused to give in to Washington’s demands.
Days before the US and Israel attacked Iran on February 28, Trump’s aide Steve Witkoff said the US president is “curious” as to why Tehran has not “capitulated” amid Washington’s military build-up in the region.
Now Trump is raising the stakes once more, threatening not just to kill Iran’s leaders and bomb its military capabilities, but to destroy the country itself.
Mortazavi said Trump seems to think that all parties have a “threshold for threats and pressure” that would lead them to give up.
“I don’t think this next level of escalation will bring what he wants, which is full surrender and capitulation,” Mortazavi told Al Jazeera.</t>
        </is>
      </c>
      <c r="F6" s="20" t="n"/>
      <c r="G6" s="20" t="n"/>
      <c r="H6" s="20" t="n"/>
      <c r="I6" s="20" t="n"/>
      <c r="J6" s="20" t="n"/>
      <c r="K6" s="20" t="n"/>
      <c r="L6" s="20" t="n"/>
      <c r="M6" s="20" t="n"/>
      <c r="N6" s="20" t="n"/>
      <c r="O6" s="20" t="n"/>
      <c r="P6" s="20" t="n"/>
      <c r="Q6" s="20" t="n"/>
      <c r="R6" s="20" t="n"/>
      <c r="S6" s="20" t="n"/>
      <c r="T6" s="20" t="n"/>
      <c r="Y6" t="n">
        <v>60</v>
      </c>
      <c r="Z6" t="inlineStr">
        <is>
          <t>geopolitical_blame</t>
        </is>
      </c>
      <c r="AA6" t="n">
        <v>5</v>
      </c>
      <c r="AB6" t="n">
        <v>8</v>
      </c>
    </row>
    <row r="7" ht="15" customHeight="1" s="14">
      <c r="A7" s="20" t="n">
        <v>6</v>
      </c>
      <c r="B7" s="20" t="inlineStr">
        <is>
          <t>https://www.aljazeera.com/economy/2026/4/7/trump-to-pursue-stability-with-chinas-xi-in-may-meeting-ustr-greer-says</t>
        </is>
      </c>
      <c r="C7" s="20" t="inlineStr">
        <is>
          <t>Trump to pursue stability with China’s Xi in May meeting, USTR Greer says</t>
        </is>
      </c>
      <c r="D7" s="21" t="inlineStr">
        <is>
          <t>factual</t>
        </is>
      </c>
      <c r="E7" s="20" t="inlineStr">
        <is>
          <t>The United States economic and trade relationship with China is stable and US President Donald Trump will aim to keep it that way in a meeting next month with Chinese President Xi Jinping, US Trade Representative Jamieson Greer says.
“What we are not looking for is massive confrontation or anything like that” with China, Greer said on Tuesday at an event hosted by the Hudson Institute think tank.
Recommended Stories
list of 4 items- list 1 of 4India’s nuclear leap: Why its fast breeder reactor success matters
- list 2 of 4From 9pm shutdowns to remote work: Egypt cuts fuel amid power crisis
- list 3 of 4Can Africa tackle the oil shock from the Iran war?
- list 4 of 4UK blocks rapper Kanye West from entry over anti-Semitism and Nazi support
Greer said the world’s two largest economies have settled into a stable situation in which the US is able to access Chinese rare earth minerals and maintain substantial tariffs on Chinese goods.
“When we think about what to expect for the president’s meeting, … we’re looking to maintain that stability. We’re looking to ensure we can continue to get rare earths from the Chinese.”
Greer, US Treasury Secretary Scott Bessent and Chinese Vice Premier He Lifeng discussed issues involving rare earths in Paris in March, including minerals that go through third countries before they make it to the US.
US access to rare earths
Although the Trump-Xi summit in Beijing was postponed from March to mid-May due to the US-Israel war on Iran, Greer said minister and staff-level consultations on rare earths have continued.
“It would be nice not to have it come up at the leaders meeting,” Greer said of the rare earths issue. “It’d be nice if we could resolve it at the ministers level and the staff level, and hopefully, we’re in a position to do that. But, of course, the president, as he has in the past, he will continue to advocate for US access to rare earths.”
Greer said the US is working on plurilateral agreements to boost alternative supplies of critical minerals but these need price floor mechanisms to protect production from potential future predatory price cuts by China.
The US and China, Greer said, are working on forming a board of trade mechanism for Trump and Xi to consider, which would determine what the two countries could sustainably trade with each other without crossing national security red lines.
Greer also said there have been discussions about forming a possible board of investment between the two countries, but it would discuss discrete issues related to investment, such as roadblocks to specific company investments in the US or China, and not broad policy.
Trump has said he would be open to the idea of Chinese electric vehicle maker BYD starting a plant in the US, but US lawmakers have voiced increasing concern that allowing such investments from state-supported Chinese automakers would create an existential threat to the market-driven economics of the US auto industry.
“I would say it’s different in nature than the board of trade, which is going to be very concrete about exchange of goods,” Greer said of the investment mechanism. “With investment, I don’t think we’re at the point in our relationship with the Chinese where we want to talk about the investment programmes either way, right? We really need to get that trade deficit under control.”</t>
        </is>
      </c>
      <c r="F7" s="20" t="n"/>
      <c r="G7" s="20" t="n"/>
      <c r="H7" s="20" t="n"/>
      <c r="I7" s="20" t="n"/>
      <c r="J7" s="20" t="n"/>
      <c r="K7" s="20" t="n"/>
      <c r="L7" s="20" t="n"/>
      <c r="M7" s="20" t="n"/>
      <c r="N7" s="20" t="n"/>
      <c r="O7" s="20" t="n"/>
      <c r="P7" s="20" t="n"/>
      <c r="Q7" s="20" t="n"/>
      <c r="R7" s="20" t="n"/>
      <c r="S7" s="20" t="n"/>
      <c r="T7" s="20" t="n"/>
      <c r="Y7" t="n">
        <v>40</v>
      </c>
      <c r="Z7" t="inlineStr">
        <is>
          <t>geopolitical_blame</t>
        </is>
      </c>
      <c r="AA7" t="n">
        <v>3</v>
      </c>
      <c r="AB7" t="n">
        <v>8</v>
      </c>
    </row>
    <row r="8" ht="15" customHeight="1" s="14">
      <c r="A8" s="20" t="n">
        <v>7</v>
      </c>
      <c r="B8" s="20" t="inlineStr">
        <is>
          <t>https://www.npr.org/2025/12/10/g-s1-99930/best-music-of-2025</t>
        </is>
      </c>
      <c r="C8" s="20" t="inlineStr">
        <is>
          <t>The Best Music of 2025</t>
        </is>
      </c>
      <c r="D8" s="21" t="inlineStr">
        <is>
          <t>factual</t>
        </is>
      </c>
      <c r="E8" s="20" t="inlineStr">
        <is>
          <t>The Best Music of 2025
Each year at NPR Music, we curate two flagship lists: The Best Albums of the Year and The Best Songs of the Year. But there's a lot more recommendations and criticism where those came from.
You'll find all of NPR Music's year-end journalism — including content from our partner public radio stations and personal picks from our critics and hosts — on this page. Come back often throughout the month of December to see all of our coverage.
The Best Songs of 2025
This is the sound of public radio in 2025. Our list was curated by more than 60 writers and DJs across the NPR Music Network, and runs the gamut of sounds, scenes and styles.. Read the full list.
The Best Albums of 2025
NPR Music critics, podcast hosts, editors and Tiny Desk producers each singled out one album we'd recommend to anyone who came calling. Read our list of the 12 best albums of the year.
Our No. 1 Album of 2025
For the first 10 months of the year, consensus felt hard to come by. We all found plenty of music to love, but we weren't always drawn toward the same signals. Enter Rosalía's LUX. Read about our favorite album of 2025.
The Best Classical Albums of 2025
Discover a broad range of this year's most compelling classical recordings, including symphonic booty-shakers, mystic violin, pipe organ prog and a guided tour of 18th century German chart-toppers. Read the list.
The Year in Guitar Music
From Gwenifer Raymond's beautiful and brash fingerstyle to Rafael Toral's stretched-out jazz standards, not to mention William Tyler's glitched hymns and Vernon Reid's ecstatic shred, there's so much diversity to be found in six strings. Read the list.
Podcast: All Songs Considered's Favorite Songs of 2025
When the dust settles on 2025, what songs will remain in heavy rotation? Robin Hilton and friends look back at a dizzying amount of music and share some of their picks for the best tracks of the year. Listen to the episode.
Podcast: New Music Friday's Best Albums of 2025
New Music Friday host Stephen Thompson welcomes NPR Music pop critic Ann Powers and their editor Daoud Tyler-Ameen to the show to discuss the 12 albums our team selected for the big list. Listen to the episode.
Podcast: Alt.Latino's Favorite Music of 2025
This year was bookended by two major statements in Latin music: Bad Bunny's ode to Puerto Rico, DeBÍ TiRAR MáS FOToS ,and Rosalía's genre-defying masterpiece, LUX. But a lot happened in between. Listen to the episode.
Podcast: The Biggest Music Stories of 2025
Robin Hilton and friends look back at the year's most defining moments in music, from Kendrick Lamar's Super Bowl performance to the Sean Combs trial and much more. Listen to the episode.
NPR Music Staff Lists
Our critics, podcast hosts, editors and Tiny Desk producers share their individual Top 10 albums of the year.
- Ann Powers, pop critic and correspondent
- Robin Hilton, All Songs Considered host
- Stephen Thompson, New Music Friday and Pop Culture Happy Hour host
- Felix Contreras, Alt.Latino host
- Anamaria Sayre, Alt.Latino host
- Nate Chinen, jazz critic
- Tom Huizenga, classical critic
- Rodney Carmichael, hip-hop critic
- Bobby Carter, Tiny Desk series producer
- Sheldon Pearce, critic and editor
- Hazel Cills, editor
- Lars Gotrich, Viking's Choice</t>
        </is>
      </c>
      <c r="F8" s="20" t="n"/>
      <c r="G8" s="20" t="n"/>
      <c r="H8" s="20" t="n"/>
      <c r="I8" s="20" t="n"/>
      <c r="J8" s="20" t="n"/>
      <c r="K8" s="20" t="n"/>
      <c r="L8" s="20" t="n"/>
      <c r="M8" s="20" t="n"/>
      <c r="N8" s="20" t="n"/>
      <c r="O8" s="20" t="n"/>
      <c r="P8" s="20" t="n"/>
      <c r="Q8" s="20" t="n"/>
      <c r="R8" s="20" t="n"/>
      <c r="S8" s="20" t="n"/>
      <c r="T8" s="20" t="n"/>
      <c r="Y8" t="n">
        <v>20</v>
      </c>
      <c r="Z8" t="inlineStr">
        <is>
          <t>none</t>
        </is>
      </c>
      <c r="AA8" t="n">
        <v>2</v>
      </c>
      <c r="AB8" t="n">
        <v>3</v>
      </c>
    </row>
    <row r="9" ht="15" customHeight="1" s="14">
      <c r="A9" s="20" t="n">
        <v>8</v>
      </c>
      <c r="B9" s="20" t="inlineStr">
        <is>
          <t>https://www.npr.org/programs/weekend-edition-saturday</t>
        </is>
      </c>
      <c r="C9" s="20" t="inlineStr">
        <is>
          <t>Weekend Edition Saturday</t>
        </is>
      </c>
      <c r="D9" s="21" t="inlineStr">
        <is>
          <t>factual</t>
        </is>
      </c>
      <c r="E9" s="20" t="inlineStr">
        <is>
          <t>Weekend Edition Saturday Hear the Weekend Edition Saturday program for Apr 04, 2026
Audio will be available later today.
How does Trump intend to bring the war with Iran to an end?
Audio will be available later today.</t>
        </is>
      </c>
      <c r="F9" s="20" t="n"/>
      <c r="G9" s="20" t="n"/>
      <c r="H9" s="20" t="n"/>
      <c r="I9" s="20" t="n"/>
      <c r="J9" s="20" t="n"/>
      <c r="K9" s="20" t="n"/>
      <c r="L9" s="20" t="n"/>
      <c r="M9" s="20" t="n"/>
      <c r="N9" s="20" t="n"/>
      <c r="O9" s="20" t="n"/>
      <c r="P9" s="20" t="n"/>
      <c r="Q9" s="20" t="n"/>
      <c r="R9" s="20" t="n"/>
      <c r="S9" s="20" t="n"/>
      <c r="T9" s="20" t="n"/>
      <c r="Y9" t="n">
        <v>20</v>
      </c>
      <c r="Z9" t="inlineStr">
        <is>
          <t>geopolitical_blame</t>
        </is>
      </c>
      <c r="AA9" t="n">
        <v>0</v>
      </c>
      <c r="AB9" t="n">
        <v>1</v>
      </c>
    </row>
    <row r="10" ht="15" customHeight="1" s="14">
      <c r="A10" s="20" t="n">
        <v>9</v>
      </c>
      <c r="B10" s="20" t="inlineStr">
        <is>
          <t>https://arstechnica.com/space/2026/04/astronauts-set-distance-record-revealing-the-moon-as-a-place-to-be-explored</t>
        </is>
      </c>
      <c r="C10" s="20" t="inlineStr">
        <is>
          <t>Astronauts set distance record, revealing the Moon as a place to be explored</t>
        </is>
      </c>
      <c r="D10" s="21" t="inlineStr">
        <is>
          <t>factual</t>
        </is>
      </c>
      <c r="E10" s="20" t="inlineStr">
        <is>
          <t>After staring at the Moon for almost eight hours Monday, the commander of NASA’s Artemis II mission finally ran out of ways to describe what he was seeing.
“No matter how long we look at this, our brains are not processing this image in front of us. It is absolutely spectacular, surreal,” said Reid Wiseman, the 50-year-old Navy test pilot leading the four-person crew circumnavigating the Moon. “There are no adjectives. I’m going need to invent some new ones to describe what we’re looking at outside this window.”
Live images from the Orion spacecraft showed the Moon growing larger during final approach Monday. Video from GoPro cameras outside the capsule streamed down in low-resolution format, due to limitations on bandwidth coming back from deep space, but the Artemis II astronauts were expected to downlink sharper telephoto snapshots overnight Monday into Tuesday morning.
In three years of training, Wiseman and his crewmates—Victor Glover, Christina Koch, and Jeremy Hansen—learned how to pilot and operate their Orion Moon ship, named Integrity. The astronauts trained for emergencies and prepared themselves to accept the risk of flying the first crew mission on NASA’s Space Launch System rocket and Orion capsule. Artemis II is the first human mission to the vicinity of the Moon in more than 53 years, so NASA put the astronauts through geology and photography courses to document their observations of the lunar surface.
The preparation is paying off. The Orion spacecraft has performed well since its launch last week, and the crew looped behind the Moon on Monday, reaching their closest point to the lunar surface at a distance of 4,067 miles (6,545 kilometers) at 7 pm EDT (23:00 UTC). Two minutes later, Artemis II arrived at the mission’s most distant point from Earth at a range of 252,756 miles (406,771 kilometers), setting a new record for the farthest anyone has traveled into space.
Those milestones occurred as the spacecraft flew behind the Moon, as seen from Earth, with no way for mission controllers in Houston to contact the astronauts inside Integrity. After about 40 minutes without radio contact, Artemis II reemerged from behind the Moon and restored communications with engineers in Houston.</t>
        </is>
      </c>
      <c r="F10" s="20" t="n"/>
      <c r="G10" s="20" t="n"/>
      <c r="H10" s="20" t="n"/>
      <c r="I10" s="20" t="n"/>
      <c r="J10" s="20" t="n"/>
      <c r="K10" s="20" t="n"/>
      <c r="L10" s="20" t="n"/>
      <c r="M10" s="20" t="n"/>
      <c r="N10" s="20" t="n"/>
      <c r="O10" s="20" t="n"/>
      <c r="P10" s="20" t="n"/>
      <c r="Q10" s="20" t="n"/>
      <c r="R10" s="20" t="n"/>
      <c r="S10" s="20" t="n"/>
      <c r="T10" s="20" t="n"/>
      <c r="Y10" t="n">
        <v>10</v>
      </c>
      <c r="Z10" t="inlineStr">
        <is>
          <t>none</t>
        </is>
      </c>
      <c r="AA10" t="n">
        <v>2</v>
      </c>
      <c r="AB10" t="n">
        <v>15</v>
      </c>
    </row>
    <row r="11" ht="15" customHeight="1" s="14">
      <c r="A11" s="20" t="n">
        <v>10</v>
      </c>
      <c r="B11" s="20" t="inlineStr">
        <is>
          <t>https://arstechnica.com/science/2026/04/trumps-next-budget-once-again-calls-for-massive-cuts-to-science</t>
        </is>
      </c>
      <c r="C11" s="20" t="inlineStr">
        <is>
          <t>Trump’s next budget once again calls for massive cuts to science</t>
        </is>
      </c>
      <c r="D11" s="21" t="inlineStr">
        <is>
          <t>factual</t>
        </is>
      </c>
      <c r="E11" s="20" t="inlineStr">
        <is>
          <t>On Friday, the Trump administration released its proposed budget for 2027. The budget blueprint includes significant cuts to NASA, but it targets even more severe limits for other science-focused agencies, with no agencies spared. The document is laced with blatantly political language and resurfaces grievances that have been the subject of right-wing ire for years.
If all of this sounds familiar, it’s because the document is largely a retread of last year’s proposal, which Congress largely ignored in providing relatively steady research budgets. By choosing to issue a similar budget, the administration is signaling that this is an ongoing political battle. And the past year has shown that, even if Congress is unwilling to join it in the fight, the administration can still do significant damage to the scientific enterprise.
What’s proposed?
Nearly everybody is in for a cut. The hardest-hit agencies, like the National Science Foundation (NSF) and Environmental Protection Agency (EPA), will see their budgets slashed in half. But even agencies that might be otherwise popular, like the National Institutes of Health (NIH), which is overseen by Trump allies, will see $5 billion taken from its $47 billion budget. Agencies that have seemingly avoided political controversies, such as the National Institute of Standards and Technology (NIST), would also see their budgets cut by over half.
In several cases, the cuts will eliminate major programs. For example, the NSF budget for social science research would be zeroed out; the NIH would lose both the National Institute on Minority Health and Health Disparities and the National Center for Complementary and Integrative Health.
In addition, a couple of topic areas are targeted for cuts in multiple agencies. These include efforts to track and/or limit the impacts of climate change, which are targeted for cuts in a variety of agencies. This is what triggered the cuts at NIST. “The Budget slashes wasteful spending at NIST that has long funded awards for the development of curricula that advance a radical climate agenda,” the budget proposal announces. “NIST’s Circular Economy Program exploited grants to universities to push environmental alarmism.”</t>
        </is>
      </c>
      <c r="F11" s="20" t="n"/>
      <c r="G11" s="20" t="n"/>
      <c r="H11" s="20" t="n"/>
      <c r="I11" s="20" t="n"/>
      <c r="J11" s="20" t="n"/>
      <c r="K11" s="20" t="n"/>
      <c r="L11" s="20" t="n"/>
      <c r="M11" s="20" t="n"/>
      <c r="N11" s="20" t="n"/>
      <c r="O11" s="20" t="n"/>
      <c r="P11" s="20" t="n"/>
      <c r="Q11" s="20" t="n"/>
      <c r="R11" s="20" t="n"/>
      <c r="S11" s="20" t="n"/>
      <c r="T11" s="20" t="n"/>
      <c r="Y11" t="n">
        <v>50</v>
      </c>
      <c r="Z11" t="inlineStr">
        <is>
          <t>none</t>
        </is>
      </c>
      <c r="AA11" t="n">
        <v>5</v>
      </c>
      <c r="AB11" t="n">
        <v>9</v>
      </c>
    </row>
    <row r="12" ht="15" customHeight="1" s="14">
      <c r="A12" s="20" t="n">
        <v>11</v>
      </c>
      <c r="B12" s="20" t="inlineStr">
        <is>
          <t>https://www.vox.com/politics/484932/trump-threat-war-crimes-electricity-bridges</t>
        </is>
      </c>
      <c r="C12" s="20" t="inlineStr">
        <is>
          <t>“A whole civilization will die tonight”: How Trump is threatening war crimes</t>
        </is>
      </c>
      <c r="D12" s="21" t="inlineStr">
        <is>
          <t>ambiguous</t>
        </is>
      </c>
      <c r="E12" s="20" t="inlineStr">
        <is>
          <t>“A whole civilization will die tonight, never to be brought back again,” Donald Trump warned in a Truth Social message on Tuesday, the most extreme threat the president has issued yet in nearly 40 days of war with Iran.
The latest message was a follow-up to post over the weekend in which he instructed Iran to “open the Fuckin’ Strait” of Hormuz by Tuesday night or he would make good on earlier threats to destroy all bridges and power plants across the country. (Notably, it’s been less than a week since Trump claimed not to care about the Strait and promised it would open on its own once the war ended in a couple of weeks.)
He has threatened attacks against Iran’s desalination plants and the oil export facility on Kharg Island as well. On Tuesday, US strikes on Kharg Island began ahead of Trump’s deadline, though Fox News reported they were focused on military targets.
Asked Monday by reporters at the White House whether his planned attacks would constitute a war crime, Trump replied that the Iranian leaders who had killed “45,000 people in the last month” were “animals.”
Trump’s renewed threats to target Iranian infrastructure that supplies civilians with basic necessities like power and water, and his increasingly harsh rhetoric — like threatening to send Iran’s government “back to the Stone Ages where they belong” — have led to accusations that he’s violating domestic and international laws of war.
Senate Minority Leader Chuck Schumer warned Sunday that Trump was “threatening possible war crimes.” Even some Republican allies are growing concerned: On Monday, Sen. Ron Johnson (R-WI) said on a podcast that he was “hoping and praying” that Trump’s threats to attack civilian infrastructure were “bluster” because it would immiserate the same ordinary Iranians the White House was purportedly seeking to liberate.
To this point, most of the US strikes in Iran appear to have followed a pre-determined target set and focused on degrading the country’s nuclear, missile, and naval capabilities — all legitimate military aims. The killing of a head of state like Ayatollah Ali Khamenei is probably also lawful, even if extremely unusual, though Israel’s apparent targeting of diplomatic officials involved in negotiations is harder to justify. The strike on a girls’ school in Tehran that killed around 150 students on the first day of the war appears to have been the result of negligence rather than intent.
A shift toward the deliberate targeting of Iran’s civilian infrastructure, however, could mark a hard turn into deliberate lawbreaking, as well as a dramatic escalation of a conflict the president has been promising is close to over. And while not every attack on energy or bridges is inherently a war crime, the scale of destruction Trump is threatening, if carried out, would have dire implications — sending a signal that the nation that helped institute and police the modern rules of warfare is now proudly and openly flouting them.
What makes a bombing illegal?
Under international law, also codified in US military regulations, a military target is legal if it meets a two-part test: The target must “make an effective contribution to military action” and its destruction or capture must “offer a definite military advantage.”
Legal experts who spoke with Vox said that while there are definitely cases in which a power station or bridge, and possibly even a desalination plant, could be a legitimate military target, those determinations would need to be made on a case-by-case basis, as opposed to Trump’s threat to destroy them en masse in order to pressure Iranian leaders into concessions. On Monday, Trump specifically threatened to destroy every bridge and every power plant in Iran if his demands were not met.
“The targeting is not being driven by considerations of military advantage, but to politically coerce the opposing party and inflicting pain, things which would not be legitimate aims,” said Brian Finucane, a former State Department legal adviser now with the International Crisis Group.
The United States targeted electricity grids in previous bombing campaigns in Iraq during Desert Storm and Serbia in 1999. In both cases, it used specially designed graphite bombs designed to cause short-circuits without permanent damage. There was a deadly and controversial bombing of a civilian bridge in the Serbia campaign as well.
But “indiscriminate attacks” like the ones Trump is describing not only be a violation of the laws of armed conflict by the US but could arguably be considered “war crimes by those who are involved in the strikes,” said Michael Schmitt, a former US Air Force judge advocate who now teaches at the University of Reading in the UK. Though the two terms are often used interchangeably, “war crimes” are violations serious enough that the political leaders and military commanders involved could face criminal charges.
By the prevailing standards, many of Iran’s own strikes — from hitting gas fields, desalination plants, and data centers in the Gulf to using cluster munitions in Israel — are also illegal, clearly meant to impose economic costs or terrorize populations rather than gain military advantage.
Enforcing violations is a more complicated story. Neither Iran nor the United States recognizes the authority of the International Criminal Court — and in fact the Trump administration has imposed sanctions on it — but Schmitt notes that war crimes are matters of universal jurisdiction, meaning any country could theoretically launch a prosecution for them.
For his part, he is hopeful that whatever the rhetoric coming out of the White House, “at the military level, cooler heads will prevail, and there will be a very surgical by the numbers assessment of every target meant to be struck to ensure that it’s a military objective, that harm to civilians is justified under the rule of proportionality, and that every effort that’s feasible has been taken to avoid civilian harm.”
Collective punishment
Thus far, Trump has generally made a distinction between the Iranian population and its regime. The escalation toward this war began, after all, when Trump threatened strikes against the Iranian government for its mass killing of protesters in January. And while it’s nearly impossible to gauge public opinion in Iran right now, it’s clear that at least a significant segment of the population is hoping these strikes, regrettable as they might be, could still bring down the regime.
Trump had made a point in the first few weeks of the war of saying he was avoiding targeting Iran’s power infrastructure. After Israel bombed a major gas field, spiking global energy prices, Trump promised it would never happen again. In his public statements, Trump appeared to be hoping to allow a more pliant and militarily-weakened new Iranian government to rebuild its economy after the war.
More recent strikes, however, have begun to test these boundaries. Last week, a US airstrike destroyed a major Iranian highway bridge. US officials suggested it was used to transport drone and missile parts, though other reports suggest it was still under construction and hadn’t been opened to traffic. The United States and Israel have also, in recent days, been stepping up attacks on nonmilitary targets, including steel and petrochemical plants.
Trump appears, in his rhetoric at least, to be shifting toward a strategy of collective punishment of Iran as a whole for the actions of its government. When he threatened to bomb Iran back to the “Stone Age” in his address last week, that did not sound like just a reference to its nuclear enrichment facilities.
Intentionally or not, Trump’s description of Iranian leaders as “animals” evokes Israeli Defense Minister Yoav Gallant’s 2023 description of Hamas as “human animals” to justify the “complete siege” of Gaza. The consistent Israeli government justification for the harm inflicted on civilians was that it was the result of the actions of Hamas.
This is not to say that the level of physical destruction in Iran will come anywhere close to Gaza. But aside from questions of legality and morality, the comparison raises troubling strategic questions for the US.
Trump often appears to be vacillating between a plan to simply pack up and leave Iran once a certain set of military objectives are complete, and continuing the war until Iran’s leaders agree to concessions. The latest threats seem to suggest the latter, but there’s little to indicate that Iran’s leaders are close to making concessions, particularly on the Strait of Hormuz, which has emerged as their main form of deterrence and leverage in this conflict.
A government that, as Trump noted, is willing to kill tens of thousands of its own people to stay in control, is probably not one that is likely to surrender because its people are suffering without power.
Update, April 7, 10:45 am ET: This piece was originally published on April 6 and has been updated with Trump’s latest comments.</t>
        </is>
      </c>
      <c r="F12" s="20" t="n"/>
      <c r="G12" s="20" t="n"/>
      <c r="H12" s="20" t="n"/>
      <c r="I12" s="20" t="n"/>
      <c r="J12" s="20" t="n"/>
      <c r="K12" s="20" t="n"/>
      <c r="L12" s="20" t="n"/>
      <c r="M12" s="20" t="n"/>
      <c r="N12" s="20" t="n"/>
      <c r="O12" s="20" t="n"/>
      <c r="P12" s="20" t="n"/>
      <c r="Q12" s="20" t="n"/>
      <c r="R12" s="20" t="n"/>
      <c r="S12" s="20" t="n"/>
      <c r="T12" s="20" t="n"/>
      <c r="Y12" t="n">
        <v>60</v>
      </c>
      <c r="Z12" t="inlineStr">
        <is>
          <t>geopolitical_blame</t>
        </is>
      </c>
      <c r="AA12" t="n">
        <v>10</v>
      </c>
      <c r="AB12" t="n">
        <v>15</v>
      </c>
    </row>
    <row r="13" ht="15" customHeight="1" s="14">
      <c r="A13" s="20" t="n">
        <v>12</v>
      </c>
      <c r="B13" s="20" t="inlineStr">
        <is>
          <t>https://www.vox.com/today-explained-newsletter/484936/how-far-will-trump-go-in-iran</t>
        </is>
      </c>
      <c r="C13" s="20" t="inlineStr">
        <is>
          <t>How far will Trump go in Iran?</t>
        </is>
      </c>
      <c r="D13" s="21" t="inlineStr">
        <is>
          <t>ambiguous</t>
        </is>
      </c>
      <c r="E13" s="20" t="inlineStr">
        <is>
          <t>This story appeared in Today, Explained, a daily newsletter that helps you understand the most compelling news and stories of the day. Subscribe here.
We’re now more than five weeks into President Donald Trump’s unpopular and apparently unprovoked war with Iran, and any decisive “victory” still seems far off. The US and Israel have dominated the battlefield from the start. But Iran successfully brought an economic crisis to a gunfight: By closing the Strait of Hormuz, a major chokepoint in the global energy trade, it spiked the price of oil, fertilizer, and other goods and triggered rationing and curfews in dozens of countries. A gallon of gas now tops $4, on average, in the United States.
Trump has veered from one approach to another as he struggles to resolve this thorny situation. First he tried suggesting that the closure of the Strait was not actually a problem at all. When that failed, he said other countries would handle it. On Sunday morning, he took a very, er, different tact: “Open the Fuckin’ Strait, you crazy bastards, or you’ll be living in Hell,” he posted on Truth Social, where he threatened to bomb Iran’s power plants and bridges.
The thing about Trump’s threats is that he often doesn’t follow through on them. Online commentators have even coined an acronym for this: TACO, or “Trump always chickens out.” Should Trump not chicken out, however, then the US could be bombing 93 million civilians “back to the Stone Ages” in a matter of hours.
But let’s back up. Why is the US in Iran to begin with?
The US and Israel launched surprise airstrikes against Iran on February 28. Trump has variably claimed those strikes were intended to eliminate an “imminent threat,” to prevent Iran from developing a nuclear weapon, and/or to oust the repressive, theocratic regime that has ruled the country for generations.
You might generously assume that, in pursuing multiple and occasionally conflicting objectives, Trump is taking something of a many-birds-with-one-stone approach. But as NPR’s Mara Liasson put it Monday, it certainly looks like he’s making the strategy up “as he goes.”
The Iranians, on the other hand, have been very strategic. Using a vast supply of small, cheap drones, the regime has brought the (asymmetric) fight to the US and Israel, forcing both countries to drain their supply of expensive interceptor missiles.
They also weaponized the country’s geography by blockading the Strait of Hormuz, a waterway that many — dare I say most? — Americans could not name or place before last month. Reopening the Strait is now a central objective of the military action, and the Trump administration seems to understand that the war will be perceived as a loss for the US unless/until it reopens.
What will persuade Iran to reopen the Strait of Hormuz?
That’s the $200 billion question. At times, Trump has seemed determined to make the problem go away by insisting it doesn’t exist. Just last week, he claimed that the Strait would “open up naturally” after the conflict ended and said other countries that rely on Gulf oil should take on the task of getting tankers through again.
At other times, Trump has taken a starkly different approach — threatening to dramatically and aggressively escalate strikes if Iran didn’t reopen the Strait. On each occasion, however, he’s given the Iranian regime a deadline…and then delayed. And delayed.
On March 21, he threatened to “obliterate” Iranian power plants if the Strait was not opened within 48 hours. He then extended that timeline until March 26 to allow for negotiations.
On March 26, Trump again extended the deadline, this time until the evening of April 6. On April 5, he bumped it to 8 pm Eastern today, April 7. He also threw in a couple well-placed profanity to signal he meant business.
How serious are Trump’s threats?
If you mean “serious” as in “sincere” or “likely,” we have no earthly clue. And reasonable people can probably disagree on whether swearing makes you sound like a more or less serious person.
But in terms of how significant or worrying these threats are, the answer is: incredibly. International law permits military strikes on power plants and similar infrastructure only if they contribute to military operations. Widespread strikes on civilian targets are likely “illegal and unacceptable,” as one high-ranking European Union official put it.
US and Israeli strikes have already killed 1,500 civilians and badly damaged infrastructure in Iran, including highway bridges, energy and industrial sites, residential neighborhoods, and school campuses. These new threats would go considerably further, potentially disrupting electricity, health care, clean water, and other critical services for millions of Iranians.
Both the US and Iran have rejected ceasefire proposals that would have paused fighting for 45 days and established a path for reopening the Strait. In the absence of that kind of negotiated off-ramp, we have a surreal, uncertain countdown…and Trump’s Truth Social feed.</t>
        </is>
      </c>
      <c r="F13" s="20" t="n"/>
      <c r="G13" s="20" t="n"/>
      <c r="H13" s="20" t="n"/>
      <c r="I13" s="20" t="n"/>
      <c r="J13" s="20" t="n"/>
      <c r="K13" s="20" t="n"/>
      <c r="L13" s="20" t="n"/>
      <c r="M13" s="20" t="n"/>
      <c r="N13" s="20" t="n"/>
      <c r="O13" s="20" t="n"/>
      <c r="P13" s="20" t="n"/>
      <c r="Q13" s="20" t="n"/>
      <c r="R13" s="20" t="n"/>
      <c r="S13" s="20" t="n"/>
      <c r="T13" s="20" t="n"/>
      <c r="Y13" t="n">
        <v>60</v>
      </c>
      <c r="Z13" t="inlineStr">
        <is>
          <t>geopolitical_blame</t>
        </is>
      </c>
      <c r="AA13" t="n">
        <v>10</v>
      </c>
      <c r="AB13" t="n">
        <v>16</v>
      </c>
    </row>
    <row r="14" ht="15" customHeight="1" s="14">
      <c r="A14" s="20" t="n">
        <v>13</v>
      </c>
      <c r="B14" s="20" t="inlineStr">
        <is>
          <t>https://www.vox.com/future-perfect/484820/ai-job-market-education-teaching-kids</t>
        </is>
      </c>
      <c r="C14" s="20" t="inlineStr">
        <is>
          <t>How can you prepare your kids for AI’s disruption to the job market?</t>
        </is>
      </c>
      <c r="D14" s="21" t="inlineStr">
        <is>
          <t>ambiguous</t>
        </is>
      </c>
      <c r="E14" s="20" t="inlineStr">
        <is>
          <t>I work with a lot of very smart people, and sometimes one of them asks me a question that stops me in my tracks. That’s what happened after I published the newest installment of my advice column, Your Mileage May Vary, which was about whether it’s morally icky to send your kid to private school instead of the local public school.
Bryan Walsh, one of my editors, hit me with the question below. I felt so many people would relate to it that I wanted to publish it along with my own response to it. In the future, I hope to share more of these smart questions from within our newsroom. For now, consider this one about making decisions under radical uncertainty. Here’s Bryan’s question:
Sigal’s column is characteristically smart, and I’d encourage anyone wrestling with the decision about how to educate their child to read it. But as a parent of an 8-year-old in a Brooklyn public school, what strikes me most about the private-versus-public debate isn’t the ethical dimension — it’s the sheer vertigo of not knowing.
Something I realized fairly soon as a parent is that we get exactly one shot at it. There is no control group. You can’t run your kid through public school, rewind, try private, and then compare outcomes at age 30. You’re forced to make what could be a massive, consequential decision with radically incomplete information.
That uncertainty gnaws at me. When I was growing up in the 1980s, the basic formula for life success was still legible: get good grades, go to a good college, get a good job. That pathway still exists, but it’s fraying in ways that make school choice, like so much else today, feel even more like a shot in the dark. What skills will actually matter in 15 years? Will the curriculum your kid learns in third grade have any bearing on a labor market being reshaped by AI? Will the network your child builds matter less — or even more?
I’m supposed to be a futurist, and I have no idea. I suppose it’s some comfort that neither does anyone else, though plenty of people will charge you $40,000 a year in tuition to pretend they do.
The research Sigal cites is genuinely reassuring — family background matters more than which building your kid sits in. But knowing that intellectually doesn’t silence the 3 am voice that whispers: What if you’re getting this wrong?
This is such Relatable Content! How are you supposed to set up your child’s “one wild and precious life,” as Mary Oliver put it, when life offers you no clear instruction manual and you only get one try?
This is hard in the most stable of times. And it feels even harder now, when so many parents are wondering how they can possibly educate their kids in a way that’ll prepare them for AI’s disruptions to the labor market and society overall.
You’re right about two things. First, the old formula for life success — good grades at a good school will get you a good job — can be counted on less and less. And second, parents now have to make decisions about their kids’ education with radically incomplete information.
Uncertainty is a very hard thing to hold, especially at 3 am.
So at this point, I could try to reassure you by telling you the concrete things you can do to benefit your individual child. I could reiterate what many AI executives and early adopters have told their own kids: Cultivate soft skills (like listening, empathy, and accountability) and metacognitive skills (like critical thinking, experimentation, and flexibility).
I could also reiterate something I’ve said before: A good education is about much more than ensuring job security. As Aristotle argued back in ancient Greece, it’s about cultivating all the character virtues that make for a flourishing life — honesty, courage, justice, and especially phronesis or good judgment (learning to discern the morally salient features of a given situation so you can make a judgment call that’s well-attuned to that unique situation). The advent of AI makes a virtue like phronesis more relevant than ever, because your kid will need to be able to wisely discern how to make use of emerging technologies — and how not to.
But the thing about the virtues is, you build them up through practice. If your kid doesn’t have the opportunity to encounter friction that forces them to practice reasoning and deliberating, they’ll have a very hard time developing good judgment.
And AI tends to remove friction. It makes things fast and easy, which can be handy in the short term, but can lead to intellectual — and moral — deskilling in the long term. As AI use pervades society more and more, I think the most unusual kind of person will be one who has become neither brain-dulled nor virtue-dulled by deferring to AI models without using their own cognitive muscles first.
So if your goal is to make your kid stand out in a way that just might give them a leg up when they’re grown, I’d say: Make sure that they build those muscles while they’re young, and for the love of god, keep exercising them. Even if this doesn’t give them full security in the labor market, it’ll help them live a more flourishing life writ large.
The nice thing about this advice for you, as a parent struggling to know what to do for your kid, is that it means you don’t have to do anything wildly different from what’s been done in the past! The benefits of a classic humanities or liberal-arts education are still among the very best you can give your child.
But.
While I think all the advice I’ve mentioned so far is reasonable on the individual level, I’d argue the very best advice would be to question the entire premise that focusing on that individual level will be an effective way to ensure much of anything for your child’s future.
On the current trajectory, it seems all too likely that we’re heading toward a future of “gradual disempowerment,” as some AI researchers put it. The basic idea is that as AI becomes a cheaper alternative to human labor in most jobs, the economic pressure to sideline humans will become incredibly hard to resist. Historically, citizens in democratic states have enjoyed a bunch of rights and protections because states needed us — we provide the labor that makes everything run, from the economy to the military.
But when AI provides the labor and the state becomes less dependent on us, it doesn’t have to pay so much attention to our demands. Worse, any state that does continue taking care of human workers might find itself at a competitive disadvantage against others that don’t. And so the forces that have traditionally kept governments accountable to their citizens gradually erode, and we end up deeply disempowered.
Under these conditions, focusing on the object-level question of “what skills should I teach my individual child?” is a bit like trying to protect your kid from climate change by buying them a better sunhat.
Instead, it makes more sense to focus on the structural problem, which demands political engagement and collective organizing. If you want your kid to have a job as an adult, then teaching them to be an effective citizen and advocate — and doing that work yourself right now — probably matters more than any particular school subject they will study. This can take many concrete forms: organizing with your labor union, supporting advocacy groups that push the government to make tech equitable and accountable, voting for politicians who share your vision, and spreading compelling counter-narratives to the fanciful stories that AI companies are selling the public.
Have a question you want me to answer in the next Your Mileage May Vary column?
I know that accepting the limits of what we can guarantee by focusing on the personal level is a tough pill to swallow. We live in a culture that conditions us to think in terms of the atomized individual and valorizes being self-sufficient and self-directed (see Silicon Valley’s current obsession with being “high agency.”) But my own life has taught me how fragile that model is.
I grew up in a family on welfare, so financial and professional security feels very salient to me. I tend to gravitate towards a “hoarding” mentality. That is, faced with my own 3 am anxieties, I spent years trying to maintain a sense of control by telling myself that if I burnish my educational credentials, work hard at my job, and save enough money, I’ll be okay.
But for me, that illusion of control came crashing down a decade ago when I developed a chronic illness. For a while, it was so intense that I could barely walk. And I was shattered to discover that nothing I’d hoarded — my education, my job, my savings — could help me. Even worse than the physical pain was the emotional pain of feeling alone: My doctors shunted me from specialist to specialist, and my friends and family didn’t realize that I needed more support. I was so used to the idea that I was self-sufficient, in my castle buttressed by the achievements I’d hoarded, that I didn’t think to ask.
Recently, a friend of mine also developed a chronic illness. But unlike me, she’d spent many years cultivating a community of extremely tight-knit friends. They’re the sort of group that talks a lot about solidarity and mutual aid. And they walk the talk. I’ve watched how my friend, buoyed by all the meals and parties and other ministrations they lavish on her, has been able to manage her physical challenges with so much less fear and so much more security than me. My castle isolated me. Her refusal to build one gave her true safety.
As AI disrupts the labor market, I’m trying to move myself from the hoarding model to the solidarity model.
And I wonder if it might serve you and your family well, too. The problem we’re all about to face together is structural, not individual. So the benefits you can offer your child on the individual level are, it pains me to say, fairly limited. But if you focus on political engagement and collective organizing that could actually make some difference to the structural dynamic — and teach your child to ask structural questions and be civically engaged as well — you might be able to sleep a little better at night.</t>
        </is>
      </c>
      <c r="F14" s="20" t="n"/>
      <c r="G14" s="20" t="n"/>
      <c r="H14" s="20" t="n"/>
      <c r="I14" s="20" t="n"/>
      <c r="J14" s="20" t="n"/>
      <c r="K14" s="20" t="n"/>
      <c r="L14" s="20" t="n"/>
      <c r="M14" s="20" t="n"/>
      <c r="N14" s="20" t="n"/>
      <c r="O14" s="20" t="n"/>
      <c r="P14" s="20" t="n"/>
      <c r="Q14" s="20" t="n"/>
      <c r="R14" s="20" t="n"/>
      <c r="S14" s="20" t="n"/>
      <c r="T14" s="20" t="n"/>
      <c r="Y14" t="n">
        <v>60</v>
      </c>
      <c r="Z14" t="inlineStr">
        <is>
          <t>tech_surveillance</t>
        </is>
      </c>
      <c r="AA14" t="n">
        <v>10</v>
      </c>
      <c r="AB14" t="n">
        <v>9</v>
      </c>
    </row>
    <row r="15" ht="15" customHeight="1" s="14">
      <c r="A15" s="20" t="n">
        <v>14</v>
      </c>
      <c r="B15" s="20" t="inlineStr">
        <is>
          <t>https://www.motherjones.com/politics/2026/04/we-asked-the-white-house-if-trump-was-considering-nuking-iran-its-response-was-chilling</t>
        </is>
      </c>
      <c r="C15" s="20" t="inlineStr">
        <is>
          <t>We Asked the White House If Trump Was Considering Nuking Iran. Its Response Was Chilling.</t>
        </is>
      </c>
      <c r="D15" s="21" t="inlineStr">
        <is>
          <t>ambiguous</t>
        </is>
      </c>
      <c r="E15" s="20" t="inlineStr">
        <is>
          <t>On Tuesday morning, President Donald Trump began a post on his social media platform Truth Social by writing, “A whole civilization will die tonight, never to be brought back again.” Trump continued in the post, “I don’t want that to happen, but it probably will.”
The president’s post and other recent threats come in the lead up to an 8 p.m. Tuesday deadline that he has imposed on Iran to reach a deal to open the Strait of Hormuz. The threats have led to concerns from figures including former Fox News Host Tucker Carlson and Anthony Scaramucci, the short-lived White House communications director turned Trump critic, 0f a potential nuclear strike against Iran if the president is unable to open the strait through conventional weaponry and diplomacy.
I asked the White House Tuesday morning if the president is mulling the use of nuclear weapons and if his apocalyptic Truth Social post is intended to convey such a threat. Six minutes later, at 11:19 a.m. eastern time, the White House press office declined to rule out the use of nuclear weapons. Instead, an unnamed official wrote, “We refer you to the President’s TRUTH on this inquiry.”
In a follow-up email, I wrote that the Truth Social post in question is ambiguous and that I would write in this article that “the White House press office declined to comment on whether the president is considering a nuclear attack on Iran,” and that it instead directed me to a post that threatens the imminent death of an entire civilization.
I also asked if the White House would like to provide additional comments or a statement. Two minutes later, at 11:45 a.m., the White House shared a statement attributable to press secretary Karoline Leavitt. “The Iranian regime has until 8PM Eastern Time to meet the moment and make a deal with the United States,” Leavitt said. “Only the President knows where things stand and what he will do.”
The responses from the White House press office were different from an earlier tweet from its rapid response team that criticized a Democratic account for saying that Vice President JD Vance had implied on Tuesday that Trump was considering using nuclear weapons. “Literally nothing [Vance] said here ‘implies’ this, you absolute buffoons,” the rapid response team wrote.
The threat by Trump on Tuesday is yet another escalation from the president in the lead up to his imminent deadline for opening the Strait of Hormuz. On Easter Sunday, Trump wrote that “Tuesday will be Power Plant Day, and Bridge Day, all wrapped up in one” before adding “Open the Fuckin’ Strait, you crazy bastards, or you’ll be living in Hell.” The language of the post suggested that Trump is considering using conventional weapons to target civilian infrastructure, which is itself a war crime. Trump said on Monday about Iran, “The entire country can be taken out in one night, and that night might be tomorrow night.”
Some of Trump’s biggest backers, including conspiracy theorist Alex Jones, are now warning that the president is no longer fit to serve and should be removed from office by his cabinet. “25TH AMENDMENT!!!,” former Rep. Marjorie Taylor Greene wrote in response to Trump’s most recent threat. “We cannot kill an entire civilization. This is evil and madness.”</t>
        </is>
      </c>
      <c r="F15" s="20" t="n"/>
      <c r="G15" s="20" t="n"/>
      <c r="H15" s="20" t="n"/>
      <c r="I15" s="20" t="n"/>
      <c r="J15" s="20" t="n"/>
      <c r="K15" s="20" t="n"/>
      <c r="L15" s="20" t="n"/>
      <c r="M15" s="20" t="n"/>
      <c r="N15" s="20" t="n"/>
      <c r="O15" s="20" t="n"/>
      <c r="P15" s="20" t="n"/>
      <c r="Q15" s="20" t="n"/>
      <c r="R15" s="20" t="n"/>
      <c r="S15" s="20" t="n"/>
      <c r="T15" s="20" t="n"/>
      <c r="Y15" t="n">
        <v>70</v>
      </c>
      <c r="Z15" t="inlineStr">
        <is>
          <t>geopolitical_blame</t>
        </is>
      </c>
      <c r="AA15" t="n">
        <v>4</v>
      </c>
      <c r="AB15" t="n">
        <v>5</v>
      </c>
    </row>
    <row r="16" ht="15" customHeight="1" s="14">
      <c r="A16" s="20" t="n">
        <v>15</v>
      </c>
      <c r="B16" s="20" t="inlineStr">
        <is>
          <t>https://www.motherjones.com/politics/2026/04/trump-a-whole-civilization-will-die-tonight</t>
        </is>
      </c>
      <c r="C16" s="20" t="inlineStr">
        <is>
          <t>Trump: “A Whole Civilization Will Die Tonight”</t>
        </is>
      </c>
      <c r="D16" s="21" t="inlineStr">
        <is>
          <t>ambiguous</t>
        </is>
      </c>
      <c r="E16" s="20" t="inlineStr">
        <is>
          <t>Trump threatened genocide against the people of Iran Tuesday morning, saying that “a whole civilization will die tonight, never to be brought back again.”
The Truth Social post in full: “A whole civilization will die tonight, never to be brought back again. I don’t want that to happen, but it probably will. However, now that we have Complete and Total Regime Change, where different, smarter, and less radicalized minds prevail, maybe something revolutionarily wonderful can happen, WHO KNOWS? We will find out tonight, one of the most important moments in the long and complex history of the World. 47 years of extortion, corruption, and death, will finally end. God Bless the Great People of Iran!”
This warning comes as Trump’s latest deadline for Iran’s leadership to open the Strait of Hormuz expires on Tuesday night at 8pm Eastern Time and is a horrifying escalation of his threat over the weekend to commit war crimes by bombing Iranian civilian infrastructure, including power plants and desalination plants.
But the president clearly doesn’t care. In a Monday afternoon press conference, he told reporters that he was “not at all” concerned about his threats violating the Geneva convention’s bans on attacking resources essential for a population’s survival. The prohibitions bind all United Nations member states.
“I’m not worried about it,” Trump said in his dismissive Monday remarks. “You know the war crime? The war crime is allowing Iran to have a nuclear weapon.”</t>
        </is>
      </c>
      <c r="F16" s="20" t="n"/>
      <c r="G16" s="20" t="n"/>
      <c r="H16" s="20" t="n"/>
      <c r="I16" s="20" t="n"/>
      <c r="J16" s="20" t="n"/>
      <c r="K16" s="20" t="n"/>
      <c r="L16" s="20" t="n"/>
      <c r="M16" s="20" t="n"/>
      <c r="N16" s="20" t="n"/>
      <c r="O16" s="20" t="n"/>
      <c r="P16" s="20" t="n"/>
      <c r="Q16" s="20" t="n"/>
      <c r="R16" s="20" t="n"/>
      <c r="S16" s="20" t="n"/>
      <c r="T16" s="20" t="n"/>
      <c r="Y16" t="n">
        <v>60</v>
      </c>
      <c r="Z16" t="inlineStr">
        <is>
          <t>geopolitical_blame</t>
        </is>
      </c>
      <c r="AA16" t="n">
        <v>4</v>
      </c>
      <c r="AB16" t="n">
        <v>5</v>
      </c>
    </row>
    <row r="17" ht="15" customHeight="1" s="14">
      <c r="A17" s="20" t="n">
        <v>16</v>
      </c>
      <c r="B17" s="20" t="inlineStr">
        <is>
          <t>https://www.motherjones.com/politics/2026/04/data-centers-indian-country</t>
        </is>
      </c>
      <c r="C17" s="20" t="inlineStr">
        <is>
          <t>In Indian Country, Data Centers Come With a Familiar Threat of Colonialism. These Organizers Are Fighting Back.</t>
        </is>
      </c>
      <c r="D17" s="21" t="inlineStr">
        <is>
          <t>ambiguous</t>
        </is>
      </c>
      <c r="E17" s="20" t="inlineStr">
        <is>
          <t>Last August, citizens of the Muscogee (Creek) Nation began hearing whispers of an AI data center coming to their reservation. Kenzie Roberts and Jordan Harmon, both Muscogee citizens, were immediately worried. It “didn’t seem like something that should align with our values as Indigenous people,” Roberts said. The center would be located on Looped Square Ranch, a 5,570-acre plot of land where the tribe runs its food sovereignty initiative, a program that allows the Muscogee Nation to directly serve its citizens’ food needs. At the ranch, the tribe hosts youth agricultural activities like 4H; citizens can visit for hunting, fishing, trapping, and gathering; and the nation runs a fully functioning cattle ranch and meat processing center. The proposed legislation would rezone that land for industrial purposes—potentially taking that all away. “We give so much from the heartland, and then they still try to extract more from us,” Roberts said.
As developers scope out land across rural America for the hyperscale data centers needed to power generative AI, Native lands have become the latest target for Big Tech—from the Arizona desert to the Great Plains in Montana to the hills of central Virginia. Often, when tech companies come into Indigenous communities, they promise jobs and economic benefits for the community, but community activists say those benefits rarely materialize. Instead, data centers bring a threat of land loss and displacement that feels all too familiar for Indigenous people. “It’s just layer upon layer of exploitation, of violence, of continued colonialism. All in the name of imperialism,” said Krystal Two Bulls, an Oglala Lakota and Northern Cheyenne organizer who is the executive director of Honor the Earth, a national organization promoting Indigenous sovereignty that has been leading the fight against data centers. According to Honor the Earth, there are currently at least 106 proposed data center projects near or on Native lands. In western New York, a proposed $19.46 billion data center project would sit adjacent to the Tonawanda Seneca Nation’s territory, threatening an old forest that tribal citizens use for hunting, fishing, and gathering traditional medicine. In Reno, Nevada, an industrial park with a number of data centers planned threatens the water supply of Pyramid Lake, which is home to the Pyramid Lake Paiute Tribe and completely surrounded by the tribe’s reservation.
Companies attempting to construct data centers on Indigenous lands likely see it as an opportunity not just to access large plots of land, but also to use tribal sovereignty to bypass cumbersome state regulations that tribes don’t have to follow. Many tribal nations don’t have the legal codes or regulatory bodies in place yet to regulate utilities, Two Bulls said, so developers are moving quickly to begin data center projects while that’s still the case. Two Bulls also said that many developers see Indigenous communities as easy targets, especially poorer tribes that don’t have the legal or financial infrastructure to pursue litigation. “They don’t think they’re going to get a lot of pushback,” said Ashley LaMont, an enrolled tribal member of the Absentee Shawnee Tribe of Oklahoma and the campaign director at Honor the Earth, who’s been organizing with Roberts and Harmon in Oklahoma.
Two Bulls said that tribes with large land bases are open to the purported economic development that a data center could bring—because they need it. But tribal nations also need to consider whether they will be able to hold companies responsible for harm or depleted resources on their lands and whether they’ll have oversight of data centers. Community organizers and experts cite concerns about air pollution, electrical rate hikes, and the depletion of finite resources like water. “For Indigenous communities as a whole, water is going to be a continued worry,” said Lance Tubinaghtewa, a program coordinator at the Southwest Environmental Health Sciences Center at the University of Arizona. Tubinaghtewa, who’s Hopi, has been closely monitoring data centers that could threaten Indigenous communities in Arizona.
The organizers I spoke with say that the concern about data centers mirrors other issues—oil and natural gas pipelines, uranium and lithium mining, rollbacks on environmental protections for sacred lands, and man-made dams—that some Native communities have been fighting for years. They see parallels to the Dakota Access Pipeline protests of 2016, when activists flocked to the Standing Rock Indian Reservation, where the pipeline was threatening sacred lands and water in the area. At the time, these protesters often referred to themselves as “water protectors” and repeated the Lakota phrase “Mní Wičóni” or “Water is life.” Today, as corporations attempt to place hyperscale data centers—which can guzzle up to 5 million gallons of water per day—on Indigenous lands, organizers are again taking up the water protector mantle. For them, the data center boom feels like yet another example of developers treating Native lands as an unlimited commodity for exploitation.
For months, Harmon and Roberts traveled all around the Muscogee Reservation—which covers 11 counties in Oklahoma—holding town halls to organize against the data center. Some Muscogee citizens they met were concerned about water or electric bill increases—a recent Bloomberg analysis shows that electricity costs were up by 267 percent in areas near data centers. Others wondered if a data center would bring jobs for local laborers. In one town hall, Harmon argued that while job prospects are an “alluring promise,” research shows that data centers aren’t providing the job opportunities that tech companies claim. Ultimately, those conversations paid off. “Our National Council reps were saying they were getting more calls about the data center than anything they ever had before,” Harmon said.
One of those calls came from James Floyd, the Muscogee Nation’s former Principal Chief, who said every aspect of the data center proposal seemed in opposition to traditional Muscogee values. “Our citizens own this land,” he said. “We as a nation own this. It’s been our tradition—before removal—that land was held in common and we all had a say in how the land was going to be used. Fast forward 200 years later and we get into a situation like this. It speaks to how we disregard our own culture in trying to pursue something that will make somebody some money.” The specific legislation for this project was proposed by the tribe’s administration—its executive branch—but the decision about whether the ranch should be rezoned and used for a potential data center was ultimately left up to the National Council, the tribe’s legislative branch. But Dode Barnett, a member of the Muscogee Creek National Council, said council members looking for information about the project kept hitting a brick wall.
Big tech companies and their developers often come with non-disclosure agreements in hand, and if they sign, officials are limited in what they can disclose about the projects. The NDAs can limit important information—like the amount of water and energy a data center would use and sometimes even the name of the company building it—in the name of protecting corporate secrets, leaving the public in the dark. In the case of the Mvskoke Tech Park legislation, the tribe’s administration had signed NDAs, meaning they couldn’t discuss any details about the project with members of the National Council who would ultimately make the decision. For Barnett and other members of the National Council, this made understanding the proposed project difficult—and ultimately led Barnett to vote against it. “There was just a broader sense of alarm for me, personally, around the NDAs,” she said. As a result, Barnett has drafted legislation that would make it illegal for certain Muscogee officials to sign NDAs in the future. She sees it as a chance to return the nation’s government to its values, echoing Floyd. “The Muscogee Creek Nation government was based on the citizens themselves having a lot of power,” she said.
With all the secrecy surrounding data centers, actually knowing the locations of projects is no easy task. Honor the Earth recently launched a map compiled from crowdsourced information to help keep track of data centers on or within 30 miles of Indigenous lands. Once it has identified a data center project on Native land, Honor the Earth drafts a letter to the tribal communities that could be impacted to give them information about how the project will affect their community, and provides them support if they want to resist.
Despite the downsides, the US Department of Energy’s Office of Indian Energy Policy and Programs has encouraged tribes to get involved with the data center boom, calling the centers a “big economic opportunity” and downplaying their drawbacks. The department is offering technical, financial, and legal assistance for tribes who might want a data center on their land, including site evaluations, introductions to industry partners and subject matter experts, and consulting on regulations and deals.
Some Native people also see data centers as an opportunity for tribes. Last fall, a group of researchers at the Colorado School of Mines, two of whom are Indigenous, wrote a piece called “The Future of AI Runs Through Indian Country” arguing that data centers could be an opportunity to place “high-tech infrastructure on Native American lands.” The authors argue that, thanks to their unique assets—which include large land bases, water rights, and tribal sovereignty—tribal nations stand to benefit greatly if they get in on the data center game. Tribes can avoid the risks of extraction and exploitation by implementing the proper safeguards, they say, without spelling out what those safeguards are.
When the Muscogee
And Harmon’s concerns aren’t just limited to data centers in Oklahoma. Nearly 1,000 miles away in Twiggs County, Georgia, another developer has proposed a data center on Muscogee ancestral lands. Before the US government forcibly removed them in the 1830s, the Muscogee (Creek) Nation had inhabited this part of Georgia for thousands of years, and the proposed data center could threaten the preservation of ancestral Muscogee mounds and villages that remain in that area. Some Muscogee citizens—including former principal chief Floyd—traveled down to Coweta County, Georgia, last fall to speak against a proposed data center there called Project Sail. Harmon and Roberts hope that moving forward, they can motivate more Muscogee citizens to pressure the tribal government to turn their attention towards their homelands before it’s too late. “It carries an extra emotional burden because it’s hard to be this far away from our homelands and to hear from white people, ‘We want to protect your sacred sites,’ and then to hear from our own tribal leaders that they’re not interested in that,” Harmon said.
Seeing this fight play out on so many fronts could be discouraging for some. But for Harmon, it’s a motivator. “We should always oppose colonization,” she said. “We shouldn’t back down.”
Harmon and Roberts have helped form the Stop Data Colonialism coalition, a national group founded by Honor the Earth, bringing together Native organizers working to halt data center projects in Indian Country. The Stop Data Colonialism coalition has also been organizing in other parts of Oklahoma. In the past week, the Tulsa City Council passed a nine-month moratorium on new data center construction, a data center project in Tulsa pulled its rezoning request, and another developer in Coweta pulled its data center proposal all together. The group also held a town hall with the Seminole Nation of Oklahoma, which then unanimously passed a moratorium on hyperscale data centers on its land. “We’re hoping that tribes will…actually say, ‘We don’t want this here.’ There’s more work to be done,” Harmon said.</t>
        </is>
      </c>
      <c r="F17" s="20" t="n"/>
      <c r="G17" s="20" t="n"/>
      <c r="H17" s="20" t="n"/>
      <c r="I17" s="20" t="n"/>
      <c r="J17" s="20" t="n"/>
      <c r="K17" s="20" t="n"/>
      <c r="L17" s="20" t="n"/>
      <c r="M17" s="20" t="n"/>
      <c r="N17" s="20" t="n"/>
      <c r="O17" s="20" t="n"/>
      <c r="P17" s="20" t="n"/>
      <c r="Q17" s="20" t="n"/>
      <c r="R17" s="20" t="n"/>
      <c r="S17" s="20" t="n"/>
      <c r="T17" s="20" t="n"/>
      <c r="Y17" t="n">
        <v>65</v>
      </c>
      <c r="Z17" t="inlineStr">
        <is>
          <t>tech_surveillance</t>
        </is>
      </c>
      <c r="AA17" t="n">
        <v>10</v>
      </c>
      <c r="AB17" t="n">
        <v>16</v>
      </c>
    </row>
    <row r="18" ht="15" customHeight="1" s="14">
      <c r="A18" s="20" t="n">
        <v>17</v>
      </c>
      <c r="B18" s="20" t="inlineStr">
        <is>
          <t>https://reason.com/2026/04/07/new-york-wants-a-cut-of-counter-strikes-loot-boxes</t>
        </is>
      </c>
      <c r="C18" s="20" t="inlineStr">
        <is>
          <t>New York Wants a Cut of Counter-Strike 's Loot Boxes</t>
        </is>
      </c>
      <c r="D18" s="21" t="inlineStr">
        <is>
          <t>ambiguous</t>
        </is>
      </c>
      <c r="E18" s="20" t="inlineStr">
        <is>
          <t>New York Attorney General Letitia James has discovered a new threat to public safety: a $2.50 video game purchase. She recently sued Valve Corporation, the company behind Counter-Strike 2 and the Steam gaming platform, over a supposed illegal gambling feature. The lawsuit demands refunds for affected New Yorkers and a substantial fine paid to the state.
What exactly is this case about, protecting consumers or making sure Albany gets a cut?
Filed in February 2026, James' complaint targets Valve's "loot boxes," where players spend $2.49 on a digital key, open a virtual case, and receive a randomly assigned, purely cosmetic "skin" for weapons like the AK-47. Most players get something common, worth pennies. But some receive rare virtual items worth hundreds or even thousands of dollars. A single Counter-Strike skin reportedly sold for over $1 million in June 2024.
"Valve has made billions of dollars by letting children and adults alike illegally gamble for the chance to win valuable virtual prizes," James said in a statement. "These features are addictive, harmful, and illegal, and my office is suing to stop Valve's illegal conduct and protect New Yorkers."
James argues that paying for a chance at a random outcome of real value is gambling under New York law. When New Yorkers place sports bets, they face access restrictions, age verification, and a hefty tax. Valve and Counter-Strike players face none of those requirements.
Yet the attorney general isn't just seeking to regulate Valve like a gambling operator. She wants something far more punishing: full restitution to every New Yorker who has ever "gambled" on a loot box—regardless of age—plus a fine of three times Valve's related profits.
That raises an immediate problem: It's hard to pay restitution for something without a fixed value. Skin prices fluctuate, driven by rarity, game updates, and community sentiment. The market hit around $6 billion in early 2025 before Valve's own rule changes reduced the market cap significantly. Calculating players' supposed losses is, at minimum, a serious legal headache.
The penalty demand is even more revealing. James is seeking a threefold penalty on all "gains" accumulated in New York since 2014. While precise revenue figures are proprietary, a back-of-the-napkin estimate places the penalty somewhere north of $150 million.
That is not a consumer-protection remedy. It's a revenue target—and an especially punitive one from a state that has no problem with gambling. New York operates the largest online sports betting market in the country, processing roughly $2.4 billion in wagers in January 2026 alone. DraftKings and FanDuel advertise freely in sports broadcasts watched by children and adults alike. Slot machines run at licensed casinos. Lottery tickets are sold in corner stores.
The difference is simple: Valve pays Albany nothing. New York taxes 51 percent of gross gaming revenue—the highest rate in the nation—netting over $1 billion in 2024. On loot boxes, the state collects zero.
And Valve may not be the only target. Just weeks before filing the suit, James issued a consumer alert warning New Yorkers to stay away from prediction markets like Kalshi and Polymarket, calling their products "bets masquerading as event contracts." These platforms are federally regulated by the Commodity Futures Trading Commission but do not pay state gambling taxes. A win against Valve would create a useful precedent for going after other untaxed markets.
New York can decide what counts as gambling within its borders. But other governments have approached loot boxes without resorting to exorbitant fines. Belgium and the Netherlands blocked loot boxes entirely. France and Germany took a lighter touch, requiring an "X-ray scanner" rather than slot machine–style reveal animation to give players visibility into what they are buying. None demanded exorbitant payments or required Valve to refund every individual who ever bought a skin.
Maybe the attorney general really believes making an example of Valve will protect the public. The broader pattern, however, suggests a different strategy: identify online activities that resemble gambling, but have not yet been licensed or taxed, and bring the hammer down. That may fill Albany's coffers, but it comes at the cost of innovation and freedom to participate in emerging digital markets.</t>
        </is>
      </c>
      <c r="F18" s="20" t="n"/>
      <c r="G18" s="20" t="n"/>
      <c r="H18" s="20" t="n"/>
      <c r="I18" s="20" t="n"/>
      <c r="J18" s="20" t="n"/>
      <c r="K18" s="20" t="n"/>
      <c r="L18" s="20" t="n"/>
      <c r="M18" s="20" t="n"/>
      <c r="N18" s="20" t="n"/>
      <c r="O18" s="20" t="n"/>
      <c r="P18" s="20" t="n"/>
      <c r="Q18" s="20" t="n"/>
      <c r="R18" s="20" t="n"/>
      <c r="S18" s="20" t="n"/>
      <c r="T18" s="20" t="n"/>
      <c r="Y18" t="n">
        <v>60</v>
      </c>
      <c r="Z18" t="inlineStr">
        <is>
          <t>none</t>
        </is>
      </c>
      <c r="AA18" t="n">
        <v>5</v>
      </c>
      <c r="AB18" t="n">
        <v>8</v>
      </c>
    </row>
    <row r="19" ht="15" customHeight="1" s="14">
      <c r="A19" s="20" t="n">
        <v>18</v>
      </c>
      <c r="B19" s="20" t="inlineStr">
        <is>
          <t>https://reason.com/2026/04/06/with-his-grandiose-white-house-ballroom-plan-trump-again-asserts-the-power-to-do-as-he-pleases</t>
        </is>
      </c>
      <c r="C19" s="20" t="inlineStr">
        <is>
          <t>With His Grandiose White House Ballroom Plan, Trump Again Asserts the Power To Do As He Pleases</t>
        </is>
      </c>
      <c r="D19" s="21" t="inlineStr">
        <is>
          <t>ambiguous</t>
        </is>
      </c>
      <c r="E19" s="20" t="inlineStr">
        <is>
          <t>Since President Donald Trump announced his plan to replace the East Wing of the White House with an enormous ballroom last July, critics have raised several architectural objections. Among other things, they have complained about the asymmetry of the design, which would result in a lopsided White House dominated by the new structure; obstruction of the symbolic line of sight between the Capitol and the president's residence; and the original design of the outsized portico, which featured a staircase to nowhere and 24 view-blocking columns. Last week, a federal judge added a legal wrinkle to these aesthetic concerns, saying the project cannot proceed without congressional authorization.
That decision, which the Justice Department asked a federal appeals court to block in an emergency motion filed late on Friday, reflects Trump's tendency to do whatever he wants, regardless of what the law says. "The President of the United States is the steward of the White House for future generations of First Families," U.S. District Judge Richard J. Leon writes in the 35-page opinion explaining his decision to issue the preliminary injunction that the National Trust for Historic Preservation sought in a lawsuit it filed last December. "He is not, however, the owner!"
Although Trump "claims that Congress has given him authority in existing statutes to construct his East Wing ballroom project and to do it with private funds," Leon says, "I have concluded that the National Trust is likely to succeed on the merits because no statute comes close to giving the President the authority he claims to have." Leon therefore concludes that "the ballroom construction project must stop until Congress authorizes its completion."
The Constitution "vests Congress with complete authority over public lands," Leon notes. It also "gives Congress legislative authority over the District of Columbia" and the appropriation of federal funds. Those provisions "establish Congress's primacy over federal property, spending, and the District of Columbia," Leon writes, and the defendants "have declined to argue that they have any inherent constitutional authority to build the ballroom." That authority therefore must be based on legislation enacted by Congress.
The Trump administration relies mainly on 3 USC 105(d)(1), which authorizes the president to use appropriated money for "the care, maintenance, repair, alteration, refurnishing, improvement, air-conditioning, heating, and lighting (including electric power and fixtures) of the Executive Residence at the White House." Does the ballroom project, which entails demolishing the East Wing and replacing it with a structure that would be 60 percent larger than the White House residence in square footage and more than three times as large in cubic volume, fit that description?
Leon thinks not. "Section 105(d)(1) plainly authorizes the President to conduct ordinary maintenance and upkeep of the White House, and nothing more!" he writes. "The list of authorized actions—which includes words like 'care, maintenance, repair' and 'air-conditioning, heating, and lighting'—bring to mind things like replacing the lightbulbs, fixing broken furniture, and changing the wallpaper, not wholesale demolition of entire buildings and construction of new ones."
The government's lawyers argued that the terms "alteration" and "improvement" are "capacious" enough to encompass the president's plan. "A brazen interpretation, indeed!" Leon writes. "Those two words cannot bear that weight, for a few reasons."
First, Leon says, "the meanings of 'alteration' and 'improvement' are 'narrowed by the
commonsense canon of noscitur a socii—which counsels that a word is given more
precise content by the neighboring words with which it is associated.'" In this case, the neighboring words include "refurnishing," "heating," and "maintenance," which "strongly suggest minor 'alteration[s]' and 'improvement[s],' as opposed to "wholesale demolition and reconstruction."
Second, Leon writes, the Trump administration's reading of the statute is inconsistent with "the principle that Congress 'does not…hide elephants in mouseholes'—meaning that Congress 'does not alter the fundamental details of a regulatory scheme in vague terms or ancillary provisions.'" Those quotations come from a 2001 opinion by Supreme Court Justice Antonin Scalia, a conservative icon whom Trump has described as the very model of a "great" jurist.
The government argued that such canons of statutory construction have no place in determining whether Trump is acting within his legal authority. "Please!" Leon responds. "The Supreme Court itself has made it clear that courts have a duty to locate the 'single, best meaning' of the statute, no matter the cause of action." That's a reference to the Court's 2024 ruling in Loper Bright Enterprises v. Raimondo, which featured a majority of six Republican nominees, including three justices appointed by Trump.
Leon offers a third reason for rejecting Trump's interpretation of Section 105(d)(1): It "lacks any discernible limits." According to the government's lawyers, "virtually any change to the White House could be framed as an 'alteration' or 'improvement,'" he notes. "Indeed, some might even view tearing down the White House and building a modern skyscraper in its place as an 'improvement.' As Defendants have argued it, so long as the White House grounds are 'developed' or 'occupied by buildings and structures,' the President has complete authority to engage in whatever construction activity he sees fit. How grand!"
Finally, Leon notes that Section 105(d)(1) authorizes the president to spend congressionally appropriated money. It "simply does not speak to the President's authority to spend funds not appropriated under the statute"—in this case, the $400 million in private funding earmarked for the ballroom project.
To bridge "the gaping chasm" between that price tag and the $2.5 million appropriated under Section 105(d)(1), Leon says, the defendants rely on "a convoluted funding scheme that they argue permits the President to fund the ballroom using private donations." They note that Congress has authorized the secretary of the interior to accept donations in support of the National Park Service, which can be spent via trust funds. Under the Economy Act, they argue, the National Park Service can transfer those donations to the Office of the Executive Residence as payment for a "contract" to build the ballroom.
According to the Trump administration, Leon says, "this aptly described Rube Goldberg contraption authorizes the President to use private donations" for the purposes described in Section 105(d)(1). "While its legality is not squarely at issue here," he writes, "this funding mechanism is, to say the least, a far cry from affirmative congressional authorization. Defendants cannot evade the limitations of § 105(d)(1) and the 2024 appropriations act through a series of unrelated statutes that say nothing about the President, the White House, or the construction of a ballroom."
Leon adds that his understanding of Section 105(d)(1) is supported by "a nearly unbroken history of congressional authorization for construction and major renovations at the White House." There is "zero evidence," he says, that "Congress intended a sea-change in the way that it authorizes and funds construction at the White House" when it enacted "the relevant language" in 1978.
The National Trust also argued that the ballroom project violates 40 USC 8106, which says "a building or structure shall not be erected on any reservation, park, or public grounds of the Federal Government in the District of Columbia without express authority of Congress." The Trump administration objected that "express authority of Congress" should not be read to require explicit permission to build a specific structure.
"Whether § 8106 requires general or specific authorization is beside the point because Congress has not provided any authorization to Defendants," Leon writes. "Without question, Congress has not specifically authorized the ballroom construction! And, as discussed throughout this opinion, Defendants have not identified any statute giving the President or any other Defendants freewheeling authority to construct buildings at the White House or in the District of Columbia."
The government also argued that Section 8106 "should not be read to constrain the President or limit construction at the White House absent a clear statement," Leon notes. "Please! A clear statement rule makes sense when Congress is legislating in an area where the President exercises overlapping constitutional authority. But Defendants here have disclaimed that the President has any inherent constitutional authority over construction at the White House and have conceded that Congress's constitutional authority over federal property is 'exclusive.'"
These considerations, Leon says, all point in the same direction: "Unless and until Congress blesses this project through statutory authorization, construction has to stop!" But he adds that "it is not too late for Congress to authorize the continued construction of the ballroom project."
Trump "may at any time go to Congress to obtain express authority to construct a ballroom and to do so with private funds," Leon notes. "Indeed, Congress may even choose to appropriate funds for the ballroom, or at least decide that some other funding scheme is acceptable. Either way, Congress will thereby retain its authority over the nation's property and its oversight over the Government's spending. The National Trust's interests in a constitutional and lawful process will be vindicated. And the American people will benefit from the branches of Government exercising their constitutionally prescribed roles."
Leon delayed the effect of his injunction until 14 days after he issued it, giving the Trump administration an opportunity to appeal his decision. When Assistant Attorney General Brett Shumate asked the U.S. Court of Appeals for the D.C. Circuit for an emergency stay on Friday, he argued that "the President has complete authority to renovate the White House." Shumate warned that leaving the injunction in place "would imperil the President and national security and indefinitely leave a large hole beside the Executive Residence."
Maybe Trump's ballroom will fare better in the appeals court. Or maybe he will act on Leon's recommendation and obtain congressional approval. But his argument that no such permission is necessary, which relies on stretching a statute far beyond what its plain text can reasonably support, is of a piece with his attempts to rewrite other laws in service of his agenda.
Trump claimed the Alien Enemies Act authorized him to summarily deport anyone he identified as a member of the Venezuelan gang Tren de Aragua. He argued that 10 USC 12406 empowered him to federalize the National Guard whenever he perceived obstacles to the enforcement of federal law. He asserted that the International Emergency Economic Powers Act gave him the authority to impose tariffs at whatever rates he deemed appropriate on any imports he chose from any country he decided to target for as long as he wished.
In all of those cases, Trump encountered resistance from the judicial branch, including Trump-appointed judges and the Supreme Court. Trump's legally dubious power grabs also include freezing research grants to universities without going through the process required by statute; attempting to deport students based on speech that supposedly threatens U.S. foreign policy interests; and threatening to revoke broadcast licenses based on an understanding of "the public interest" that precludes news coverage he views as unfair.
Trump's grandiose plan to build an unauthorized ballroom with a 40-foot ceiling and the capacity to accommodate 1,000 or more guests may seem trivial compared to the issues raised by his other acts of self-aggrandizement. But it reflects the same disregard for the rule of law and the separation of powers—principles that Trump views as annoying obstacles that can be overcome by the sheer assertion of one man's will.</t>
        </is>
      </c>
      <c r="F19" s="20" t="n"/>
      <c r="G19" s="20" t="n"/>
      <c r="H19" s="20" t="n"/>
      <c r="I19" s="20" t="n"/>
      <c r="J19" s="20" t="n"/>
      <c r="K19" s="20" t="n"/>
      <c r="L19" s="20" t="n"/>
      <c r="M19" s="20" t="n"/>
      <c r="N19" s="20" t="n"/>
      <c r="O19" s="20" t="n"/>
      <c r="P19" s="20" t="n"/>
      <c r="Q19" s="20" t="n"/>
      <c r="R19" s="20" t="n"/>
      <c r="S19" s="20" t="n"/>
      <c r="T19" s="20" t="n"/>
      <c r="Y19" t="n">
        <v>60</v>
      </c>
      <c r="Z19" t="inlineStr">
        <is>
          <t>none</t>
        </is>
      </c>
      <c r="AA19" t="n">
        <v>10</v>
      </c>
      <c r="AB19" t="n">
        <v>16</v>
      </c>
    </row>
    <row r="20" ht="15" customHeight="1" s="14">
      <c r="A20" s="20" t="n">
        <v>19</v>
      </c>
      <c r="B20" s="20" t="inlineStr">
        <is>
          <t>https://www.thegatewaypundit.com/2026/04/esteemed-attorney-peter-ticktin-throws-his-hat-ring</t>
        </is>
      </c>
      <c r="C20" s="20" t="inlineStr">
        <is>
          <t>EXCLUSIVE: Esteemed Attorney Peter Ticktin Throws His Hat in the Ring to Become the NEXT ATTORNEY GENERAL of the United States — Read His SOLID Agenda Below</t>
        </is>
      </c>
      <c r="D20" s="21" t="inlineStr">
        <is>
          <t>manipulative</t>
        </is>
      </c>
      <c r="E20" s="20" t="inlineStr">
        <is>
          <t>A message from Attorney Peter Ticktin:
I have thrown my hat in the ring to become the next AG, as I don’t know who else could do the job. There is Ed Martin, who the RINOs cannot accept because he dared to represent J6ers. Otherwise, he is the only one capable.
There are many others who know how to run big companies or agencies, but they don’t realize that we are at war and need to fix the whole department.
Many will respond to the threats on their lives by backing off, and many are not inspired to undermine the conspiracy which took over America for 4 years and is looking to take it again.
I know that some are saying that I don’t have a chance of getting Senate approval, because of my 2 suspensions from the Florida Bar, but in the serious prosecution for a conflict of interest, I was literally found to be of “high moral character and reputation” in the Final Judgment, and my honesty was applied as a mitigating factor.
The other charge was based on my paying a New York lawyer a referral fee.
There are always going to be problems, but these are easy to overcome except for those who have the political will to frustrate Donald Trump from getting his replacement in place.
In any event, the reason that we need me to assume the office is the need to get to the bottom of the insurrection which is against Donald Trump; possibly even bringing extreme judges, former AUSAs and others to justice; and to end the over-policing of businesses and entrepreneurs where minor transgressions have been treated as major crimes.
Also, if and when I am appointed as the next AG, I will immediately form different working groups to do the following on a short leash:
1. ELECTION INTERFERENCE
-
- We have sufficient information and evidence at this point to prosecute numerous individuals. We have evidence of phone chips in the tabulators and of the massive plan to rig our elections and to take over our country. This includes leaders of Dominion (foreign and domestic) such as Eric Coomer down to individuals in different states, such as Jena Grizwold (Colorado Secretary of State) who admits wiping hard drives clean and overwriting on them which is a clear violation of federal law. She did this in 62 counties in Colorado, and no one cares, even though she pushed to put Tina Peters in prison, and is still pushing for that, as she runs for AG of Colorado.
- We know the identity of Ballot box stuffers who should be questioned and charged or used to go up the chain.
- We have deep state actors who were involved in planning to break windows and enter the Capitol on J6. They plotted long before the election. We know who they are and have them on video tapes.
- We need to determine who manipulated the Voter Rolls.
- Immediately investigate the manipulation of the elections in the 3 states (North Carolina, Arkansas, and Texas) where the primaries occurred this year.
2. WEAPONIZATION
Weaponization is not the wrongful pursuit of crimes committed by those protected by fame or politics, but rather the wrongful targeting of those individuals and then looking for a crime, or worse, inventing a crime, as they did with Donald Trump.
It is a 2-edged sword and needs to be cleaned up by: First. making sure that we go after crimes, not after people, and Secondly, bringing to justice those who aided in the Insurrection by weaponizing against innocent people.
Those innocent people include the J6 Defendants, people in President Trump’s circle, such as Michael Flynn and Peter Navaro, albeit that some are AUSAs, some were judges, and a myriad of others. Those who persecuted Donald Trump and others must be accountable. There are untold MAGA supporters who were wrongfully prosecuted.
Meanwhile, we have real criminals who have committed serious crimes, such as the sale of influence by Hunter Biden, the theft of untold $ millions by the Clinton Foundation and its owners from Haiti funds, alone. The fact that Adam Schiff and Leticia James are not charged for their mortgage crimes is disturbing, at best.
The next AG must move promptly to do the following:
-
- Restart the Weaponization Department probably with Ed Martin, and fund it well.
Clear victims of targeting carefully by dismissing cases and recommending pardons for victims of the following:
- Restart the Weaponization Department probably with Ed Martin, and fund it well.
-
-
-
- Parents who attended and complained to Boards of Education;
- Police who were charged with excessive force, if appropriate;
- Cybercurrency participants;
- Doctors who prescribed Ivermectin or Hydroxychloroquine, or opposed the COVID vaccination.
- The upper middleclass entrepreneurs who support MAGA.
-
-
-
- Determine the AUSAs who remain in the DOJ who pursued cases to put innocent Americans in prison.
-
- Remove Assistant Attorney General for Administration, Jolene Ann Lauria, from being able to starve initiatives, such she did to Ed Martin.
-
- Those who committed crimes and seem to be in a protected class, including Hillary Clinton, The Clinton Foundation, Comey, Brennan, Clapper, Fauci, Obama, Swalwell, Soros, Raskin, Thompson (and other members of the J6 Committee) Jack Smith, Matthew Graves, Michael Horowitz, Schiff, Laticia James, and more. These investigations should be fair. If there is innocence, that innocence must be acknowledged, but if they are guilty of crimes, which include conspiracies (which extend the Statutes of Limitations), they must be brought to justice with alacrity.
3. JANUARY 6 EVENTS
-
- Investigate and indict or file Informations for those who planned J6 prior to the election. We have videos of planning from the Left as early as September 2020;
- Determine any criminal activity by the “Select Committee,” including destruction of evidence;
- Determine when did the 274 FBI operatives got assigned to J6, and determine who arranged it and for what purpose;
- Determine who participated in the murder of Ashley Babbitt;
- Determine who participated in the homicidal beating of Roseann Boyland;
- Determine who started to fire percussion grenades onto the peaceful crowd; and
- Determine who committed perjury in the courts to wrongfully convict the J6 Defendants.
4. JANUARY 6 VICTIMS’ COMPENSATION
-
- Prepare a procedure with the U.S. Attorney for Washington D.C. to settle the claims of the J6 Patriots and others, including innocent police similar to the 9/11 Victim Compensation Fund (VCF) under the DOJ.
- Find means of educating the public of the harm done to the innocent individuals who came to protest.
5. PARDONS
Expand to review all which were rejected in your administration, to see who else requires a pardon. This requires a great number of pardons being granted, as the weaponization under Garland was massive.
6. COVID-19
-
- Determine who conducted criminal activity, domestically and internationally as to COVID-19.
-
- Who was responsible for denigrating Ivermectin and Hydroxychloroquine? For what purpose?
- What are the actual effects of the COVID 19 vaccination. Was there fraud?
- Is anyone criminally responsible for the deaths in nursing homes or otherwise?
7. PLAN OF ACTION
The DOJ and its 40 Agencies are most probably too large. With the decriminalization of marijuana and other drugs, which could have been as high as 25% of the prosecutions which are gone, there are simply not enough bank robberies to go around.
As such, where some tolerance was accepted for minor transgressions, now, there are police and prosecutors who need to rationalize their existence by pursuing minor offences with a pretense that they are major crimes.
The steps needed are to First, recruit the Executive Office for U.S. Attorneys (EOUSA) coupled with the Justice Management Division (JMD) and the Weaponization Department to perform a departmental review to find and flag wrongful prosecutions against innocent or nearly innocent targets.
Secondly, deal with those defendants, with agreements which call for dismissal and prevent retaliatory lawsuits. Thirdly, gain the cooperation of the U.S. Attorneys to assign the AUSAs to work with the Weaponization Department to pursue the prosecutions above.
8. NATIONAL INSTITUTE OF CORRECTIONS, BUREAU OF PRISONS. There are numerous prisoners who need to be released early. Hence, there is a need to have programs which apply.
9. FBI, ATF, DEA, as with the AUSAs, these police agencies need to be directed to larger criminal activity, such as the investigations needed regarding Election Fraud and Weaponization which had occurred. Then, the goal should be to reduce these agencies by attrition. At the same time, senior members of law enforcement must be retained, which is not the case, now. Experience is valuable.
10. Implement the OFFICE OF LEGISLATIVE AFFAIRS (OLA) to make recommendations to Congress to enhance the administration of justice. This includes seeking legislation with improvements in transparency, such as requiring the federal courts all be provided with cameras, as are most states at this time.
There is no reason that justice should be administered in the dark. Federal courts all prohibit anyone from bringing in cameras or recording devices. Also, our DOJ has become an overbearing agency which puts so much pressure on those who are accused to plead guilty that many innocent defendants plead guilty to avoid prosecution of their spouses or other family members.
Worse, the sentences for “renting the courtroom” meaning for trying cases is far too wicked. Legislation is needed for free rent, and the ramifications for violating DOJ policies of fair settlement negotiations must be given teeth. Moreover, the frequency of Brady violations has gotten too frequent. Procedures must be put in place to rectify the wrongful practices of police and prosecution personnel.
13. MUCH MORE!
Peter would be a dynamite Attorney General!</t>
        </is>
      </c>
      <c r="F20" s="20" t="n"/>
      <c r="G20" s="20" t="n"/>
      <c r="H20" s="20" t="n"/>
      <c r="I20" s="20" t="n"/>
      <c r="J20" s="20" t="n"/>
      <c r="K20" s="20" t="n"/>
      <c r="L20" s="20" t="n"/>
      <c r="M20" s="20" t="n"/>
      <c r="N20" s="20" t="n"/>
      <c r="O20" s="20" t="n"/>
      <c r="P20" s="20" t="n"/>
      <c r="Q20" s="20" t="n"/>
      <c r="R20" s="20" t="n"/>
      <c r="S20" s="20" t="n"/>
      <c r="T20" s="20" t="n"/>
      <c r="Y20" t="n">
        <v>70</v>
      </c>
      <c r="Z20" t="inlineStr">
        <is>
          <t>election_fraud</t>
        </is>
      </c>
      <c r="AA20" t="n">
        <v>10</v>
      </c>
      <c r="AB20" t="n">
        <v>16</v>
      </c>
    </row>
    <row r="21" ht="15" customHeight="1" s="14">
      <c r="A21" s="20" t="n">
        <v>20</v>
      </c>
      <c r="B21" s="20" t="inlineStr">
        <is>
          <t>https://www.thegatewaypundit.com/2026/04/massive-six-alarm-fire-engulfs-warehouse-southern-california</t>
        </is>
      </c>
      <c r="C21" s="20" t="inlineStr">
        <is>
          <t>Massive 6-Alarm Fire Engulfs 1 Million Square-Foot Warehouse in Southern California; Arson Suspected (VIDEO)</t>
        </is>
      </c>
      <c r="D21" s="21" t="inlineStr">
        <is>
          <t>manipulative</t>
        </is>
      </c>
      <c r="E21" s="20" t="inlineStr">
        <is>
          <t>A massive 6-alarm fire engulfed a 1 million square-foot warehouse in Ontario, California, on Tuesday.
The blaze broke out just after midnight on Tuesday morning.
Arson is suspected.
More than 100 firefighters responded to the blaze.
According to law enforcement, the facility contains paper products.
“The Ontario Fire Department is battling a 6 alarm warehouse fire,” the San Bernardino Fire Department said.
“The building contains paper products. Units from many neighboring departments are on scene supporting the suppression efforts,” they said.
WATCH:
The Ontario Fire Department is battling a 6 alarm warehouse fire. The building contains paper products. Units from many neighboring departments are on scene supporting the suppression efforts. pic.twitter.com/KLNykaMbgY
— San Bernardino County Fire (@SBCOUNTYFIRE) April 7, 2026
KTLA reported:
Firefighters are battling a massive six-alarm blaze that investigators believe was intentionally set by a warehouse employee in San Bernardino County early Tuesday morning.
Multiple agencies responded around 12:30 a.m. to a fire reported at the approximately one-million-square-foot Kimberly-Clark warehouse near South Hellman Avenue and Merrill Avenue in Ontario.
Video from the scene showed flames ripping through the roof of the warehouse as first-arriving crews immediately called for a second-alarm response to bring in more firefighting resources.
The fire, fueled by paper products stored inside the facility, eventually escalated to a six-alarm incident. Units from several neighboring departments assisted the Ontario Fire Department, according to San Bernardino County Fire officials.
As of 5 a.m., firefighters had shifted to a defensive strategy, pouring water on the hourslong blaze from ladder trucks positioned around the warehouse.
More on this story from Fox:</t>
        </is>
      </c>
      <c r="F21" s="20" t="n"/>
      <c r="G21" s="20" t="n"/>
      <c r="H21" s="20" t="n"/>
      <c r="I21" s="20" t="n"/>
      <c r="J21" s="20" t="n"/>
      <c r="K21" s="20" t="n"/>
      <c r="L21" s="20" t="n"/>
      <c r="M21" s="20" t="n"/>
      <c r="N21" s="20" t="n"/>
      <c r="O21" s="20" t="n"/>
      <c r="P21" s="20" t="n"/>
      <c r="Q21" s="20" t="n"/>
      <c r="R21" s="20" t="n"/>
      <c r="S21" s="20" t="n"/>
      <c r="T21" s="20" t="n"/>
      <c r="Y21" t="n">
        <v>20</v>
      </c>
      <c r="Z21" t="inlineStr">
        <is>
          <t>none</t>
        </is>
      </c>
      <c r="AA21" t="n">
        <v>2</v>
      </c>
      <c r="AB21" t="n">
        <v>5</v>
      </c>
    </row>
    <row r="22" ht="15" customHeight="1" s="14">
      <c r="A22" s="20" t="n">
        <v>21</v>
      </c>
      <c r="B22" s="20" t="inlineStr">
        <is>
          <t>https://www.thegatewaypundit.com/2026/04/journalist-who-first-broke-missing-airman-scoop-steps</t>
        </is>
      </c>
      <c r="C22" s="20" t="inlineStr">
        <is>
          <t>Journalist Who First Broke Missing Airman Scoop Steps Forward After Trump’s Jail Threat — Vows to ‘Protect Sources’</t>
        </is>
      </c>
      <c r="D22" s="21" t="inlineStr">
        <is>
          <t>manipulative</t>
        </is>
      </c>
      <c r="E22" s="20" t="inlineStr">
        <is>
          <t>The identity of the journalist who first broke the sensitive story about a missing American airman has now been revealed.
An Israeli journalist has come out and admitted to being the first to drop the bombshell details on the second missing U.S. airman in Iran, the New York Post reported.
The Gateway Pundit previously reported on President Trump’s explosive White House comments slamming “somebody” for leaking sensitive details about the missing fighter pilot.
Trump made it crystal clear that reckless disclosure put hundreds of U.S. troops, including elite SEAL Team 6 operators, in mortal danger during the high-stakes rescue deep inside hostile Iranian territory.
The rescue of both airmen was nothing short of an Easter miracle. One pilot was recovered quickly.
The second, the weapons systems officer, evaded Iranian forces for days, surviving intense firefights before being extracted in a daring operation that showcased the unmatched bravery of America’s warfighters.
“As you probably know, we didn’t talk about the first one for an hour, and then somebody leaked something, which we’ll hopefully find that leaker; we’re looking very hard to find that leaker, and talked about there’s somebody missing,” Trump said to reporters on Monday.
“They basically said that we have one, and there’s somebody missing. Well, they didn’t know there was somebody missing until this leaker gave the information!” Trump said.
“So whoever it is, we think we’ll be able to find it out, because we’re going to go to the media company that released it. And we’re going to say, national security, give it up or go to jail.”
“There’s some things you can’t do. When they did that, all of a sudden, the entire country of Iran knew that there was a pilot that was somewhere on their land that was fighting for his life!” Trump said.
He continued, “Because a leaker leaked – because we have one – we rescued one, but there’s another one out there that we’re trying to get, actually, the country, Iran, put out.. offering a very big award for anybody that captures the pilot.”
“They put this mission, that man at great risk, and hundreds of people looking for him!” he added.
“The person that did the story will go to jail if he doesn’t say!” Trump said.
It is unclear which media outlet President Trump was referring to, but The New York Times, Washington Post, Axios, and Fox News all reported on the downed fighter jet.
Israel’s Channel 12 was also one of the first to report on the downed jet.
Amit Segal, the high-profile political commentator and anchor for Israel’s Channel 12 news, stepped forward on his Telegram channel Monday and acknowledged his role in publishing the initial scoop about the downed U.S. fighter jet crew.
Segal wrote on his Telegram channel:
“Trump: We didn’t talk about the first one we rescued, and then someone leaked something about the navigator. We’re going to find whoever leaked it. Whoever it is – we’ll manage to track them down through the network that published it, we’ll ask for the leaker. We’ll say it’s national security, and therefore it could end up in prison.
“As you may recall, this was first published here.”
When confronted by the New York Post, Segal walked back his earlier claim, admitting he was “not sure” he had broken the story first, before adding that he would still protect his “sources.”
Yahoo News reported:
The New York Post’s Caitlin Doornbos explained the timeline around Segal’s reporting last Friday, noting:
The Post was unable to immediately find the clip, but Channel 12 reporter Amit Segal posted the information to X at 11:19 a.m on Friday.
“Western source: One of the American crew members was successfully rescued,” he wrote.
Segal, a close ally of Israeli Prime Minister Benjamin Netanyahu’s Likud Party, spoke to Doornbos about Trump’s comments. “I’m not sure I was the first,” Segal said about the report the airman had been rescued, which meant the other was still unaccounted for.
“And anyway — I will protect my sources,” Segal told Doornbos.</t>
        </is>
      </c>
      <c r="F22" s="20" t="n"/>
      <c r="G22" s="20" t="n"/>
      <c r="H22" s="20" t="n"/>
      <c r="I22" s="20" t="n"/>
      <c r="J22" s="20" t="n"/>
      <c r="K22" s="20" t="n"/>
      <c r="L22" s="20" t="n"/>
      <c r="M22" s="20" t="n"/>
      <c r="N22" s="20" t="n"/>
      <c r="O22" s="20" t="n"/>
      <c r="P22" s="20" t="n"/>
      <c r="Q22" s="20" t="n"/>
      <c r="R22" s="20" t="n"/>
      <c r="S22" s="20" t="n"/>
      <c r="T22" s="20" t="n"/>
      <c r="Y22" t="n">
        <v>50</v>
      </c>
      <c r="Z22" t="inlineStr">
        <is>
          <t>geopolitical_blame</t>
        </is>
      </c>
      <c r="AA22" t="n">
        <v>4</v>
      </c>
      <c r="AB22" t="n">
        <v>5</v>
      </c>
    </row>
    <row r="23" ht="15" customHeight="1" s="14">
      <c r="A23" s="20" t="n">
        <v>22</v>
      </c>
      <c r="B23" s="20" t="n"/>
      <c r="C23" s="20" t="n"/>
      <c r="D23" s="21" t="inlineStr">
        <is>
          <t>ambiguous</t>
        </is>
      </c>
      <c r="E23" s="20" t="n"/>
      <c r="F23" s="20" t="n"/>
      <c r="G23" s="20" t="n"/>
      <c r="H23" s="20" t="n"/>
      <c r="I23" s="20" t="n"/>
      <c r="J23" s="20" t="n"/>
      <c r="K23" s="20" t="n"/>
      <c r="L23" s="20" t="n"/>
      <c r="M23" s="20" t="n"/>
      <c r="N23" s="20" t="n"/>
      <c r="O23" s="20" t="n"/>
      <c r="P23" s="20" t="n"/>
      <c r="Q23" s="20" t="n"/>
      <c r="R23" s="20" t="n"/>
      <c r="S23" s="20" t="n"/>
      <c r="T23" s="20" t="n"/>
    </row>
    <row r="24" ht="15" customHeight="1" s="14">
      <c r="A24" s="20" t="n">
        <v>23</v>
      </c>
      <c r="B24" s="20" t="n"/>
      <c r="C24" s="20" t="n"/>
      <c r="D24" s="21" t="inlineStr">
        <is>
          <t>ambiguous</t>
        </is>
      </c>
      <c r="E24" s="20" t="n"/>
      <c r="F24" s="20" t="n"/>
      <c r="G24" s="20" t="n"/>
      <c r="H24" s="20" t="n"/>
      <c r="I24" s="20" t="n"/>
      <c r="J24" s="20" t="n"/>
      <c r="K24" s="20" t="n"/>
      <c r="L24" s="20" t="n"/>
      <c r="M24" s="20" t="n"/>
      <c r="N24" s="20" t="n"/>
      <c r="O24" s="20" t="n"/>
      <c r="P24" s="20" t="n"/>
      <c r="Q24" s="20" t="n"/>
      <c r="R24" s="20" t="n"/>
      <c r="S24" s="20" t="n"/>
      <c r="T24" s="20" t="n"/>
    </row>
    <row r="25" ht="15" customHeight="1" s="14">
      <c r="A25" s="20" t="n">
        <v>24</v>
      </c>
      <c r="B25" s="20" t="n"/>
      <c r="C25" s="20" t="n"/>
      <c r="D25" s="21" t="inlineStr">
        <is>
          <t>ambiguous</t>
        </is>
      </c>
      <c r="E25" s="20" t="n"/>
      <c r="F25" s="20" t="n"/>
      <c r="G25" s="20" t="n"/>
      <c r="H25" s="20" t="n"/>
      <c r="I25" s="20" t="n"/>
      <c r="J25" s="20" t="n"/>
      <c r="K25" s="20" t="n"/>
      <c r="L25" s="20" t="n"/>
      <c r="M25" s="20" t="n"/>
      <c r="N25" s="20" t="n"/>
      <c r="O25" s="20" t="n"/>
      <c r="P25" s="20" t="n"/>
      <c r="Q25" s="20" t="n"/>
      <c r="R25" s="20" t="n"/>
      <c r="S25" s="20" t="n"/>
      <c r="T25" s="20" t="n"/>
    </row>
    <row r="26" ht="15" customHeight="1" s="14">
      <c r="A26" s="20" t="n">
        <v>25</v>
      </c>
      <c r="B26" s="20" t="n"/>
      <c r="C26" s="20" t="n"/>
      <c r="D26" s="21" t="inlineStr">
        <is>
          <t>ambiguous</t>
        </is>
      </c>
      <c r="E26" s="20" t="n"/>
      <c r="F26" s="20" t="n"/>
      <c r="G26" s="20" t="n"/>
      <c r="H26" s="20" t="n"/>
      <c r="I26" s="20" t="n"/>
      <c r="J26" s="20" t="n"/>
      <c r="K26" s="20" t="n"/>
      <c r="L26" s="20" t="n"/>
      <c r="M26" s="20" t="n"/>
      <c r="N26" s="20" t="n"/>
      <c r="O26" s="20" t="n"/>
      <c r="P26" s="20" t="n"/>
      <c r="Q26" s="20" t="n"/>
      <c r="R26" s="20" t="n"/>
      <c r="S26" s="20" t="n"/>
      <c r="T26" s="20" t="n"/>
    </row>
    <row r="27" ht="15" customHeight="1" s="14">
      <c r="A27" s="20" t="n">
        <v>26</v>
      </c>
      <c r="B27" s="20" t="n"/>
      <c r="C27" s="20" t="n"/>
      <c r="D27" s="21" t="inlineStr">
        <is>
          <t>ambiguous</t>
        </is>
      </c>
      <c r="E27" s="20" t="n"/>
      <c r="F27" s="20" t="n"/>
      <c r="G27" s="20" t="n"/>
      <c r="H27" s="20" t="n"/>
      <c r="I27" s="20" t="n"/>
      <c r="J27" s="20" t="n"/>
      <c r="K27" s="20" t="n"/>
      <c r="L27" s="20" t="n"/>
      <c r="M27" s="20" t="n"/>
      <c r="N27" s="20" t="n"/>
      <c r="O27" s="20" t="n"/>
      <c r="P27" s="20" t="n"/>
      <c r="Q27" s="20" t="n"/>
      <c r="R27" s="20" t="n"/>
      <c r="S27" s="20" t="n"/>
      <c r="T27" s="20" t="n"/>
    </row>
    <row r="28" ht="15" customHeight="1" s="14">
      <c r="A28" s="20" t="n">
        <v>27</v>
      </c>
      <c r="B28" s="20" t="n"/>
      <c r="C28" s="20" t="n"/>
      <c r="D28" s="21" t="inlineStr">
        <is>
          <t>ambiguous</t>
        </is>
      </c>
      <c r="E28" s="20" t="n"/>
      <c r="F28" s="20" t="n"/>
      <c r="G28" s="20" t="n"/>
      <c r="H28" s="20" t="n"/>
      <c r="I28" s="20" t="n"/>
      <c r="J28" s="20" t="n"/>
      <c r="K28" s="20" t="n"/>
      <c r="L28" s="20" t="n"/>
      <c r="M28" s="20" t="n"/>
      <c r="N28" s="20" t="n"/>
      <c r="O28" s="20" t="n"/>
      <c r="P28" s="20" t="n"/>
      <c r="Q28" s="20" t="n"/>
      <c r="R28" s="20" t="n"/>
      <c r="S28" s="20" t="n"/>
      <c r="T28" s="20" t="n"/>
    </row>
    <row r="29" ht="15" customHeight="1" s="14">
      <c r="A29" s="20" t="n">
        <v>28</v>
      </c>
      <c r="B29" s="20" t="n"/>
      <c r="C29" s="20" t="n"/>
      <c r="D29" s="21" t="inlineStr">
        <is>
          <t>ambiguous</t>
        </is>
      </c>
      <c r="E29" s="20" t="n"/>
      <c r="F29" s="20" t="n"/>
      <c r="G29" s="20" t="n"/>
      <c r="H29" s="20" t="n"/>
      <c r="I29" s="20" t="n"/>
      <c r="J29" s="20" t="n"/>
      <c r="K29" s="20" t="n"/>
      <c r="L29" s="20" t="n"/>
      <c r="M29" s="20" t="n"/>
      <c r="N29" s="20" t="n"/>
      <c r="O29" s="20" t="n"/>
      <c r="P29" s="20" t="n"/>
      <c r="Q29" s="20" t="n"/>
      <c r="R29" s="20" t="n"/>
      <c r="S29" s="20" t="n"/>
      <c r="T29" s="20" t="n"/>
    </row>
    <row r="30" ht="15" customHeight="1" s="14">
      <c r="A30" s="20" t="n">
        <v>29</v>
      </c>
      <c r="B30" s="20" t="n"/>
      <c r="C30" s="20" t="n"/>
      <c r="D30" s="21" t="inlineStr">
        <is>
          <t>ambiguous</t>
        </is>
      </c>
      <c r="E30" s="20" t="n"/>
      <c r="F30" s="20" t="n"/>
      <c r="G30" s="20" t="n"/>
      <c r="H30" s="20" t="n"/>
      <c r="I30" s="20" t="n"/>
      <c r="J30" s="20" t="n"/>
      <c r="K30" s="20" t="n"/>
      <c r="L30" s="20" t="n"/>
      <c r="M30" s="20" t="n"/>
      <c r="N30" s="20" t="n"/>
      <c r="O30" s="20" t="n"/>
      <c r="P30" s="20" t="n"/>
      <c r="Q30" s="20" t="n"/>
      <c r="R30" s="20" t="n"/>
      <c r="S30" s="20" t="n"/>
      <c r="T30" s="20" t="n"/>
    </row>
    <row r="31" ht="15" customHeight="1" s="14">
      <c r="A31" s="20" t="n">
        <v>30</v>
      </c>
      <c r="B31" s="20" t="n"/>
      <c r="C31" s="20" t="n"/>
      <c r="D31" s="21" t="inlineStr">
        <is>
          <t>ambiguous</t>
        </is>
      </c>
      <c r="E31" s="20" t="n"/>
      <c r="F31" s="20" t="n"/>
      <c r="G31" s="20" t="n"/>
      <c r="H31" s="20" t="n"/>
      <c r="I31" s="20" t="n"/>
      <c r="J31" s="20" t="n"/>
      <c r="K31" s="20" t="n"/>
      <c r="L31" s="20" t="n"/>
      <c r="M31" s="20" t="n"/>
      <c r="N31" s="20" t="n"/>
      <c r="O31" s="20" t="n"/>
      <c r="P31" s="20" t="n"/>
      <c r="Q31" s="20" t="n"/>
      <c r="R31" s="20" t="n"/>
      <c r="S31" s="20" t="n"/>
      <c r="T31" s="20" t="n"/>
    </row>
  </sheetData>
  <dataValidations count="4">
    <dataValidation sqref="D2:D31" showDropDown="0" showInputMessage="0" showErrorMessage="0" allowBlank="0" type="list" errorStyle="stop" operator="between">
      <formula1>"manipulative,factual,ambiguous"</formula1>
      <formula2>0</formula2>
    </dataValidation>
    <dataValidation sqref="S2:S31" showDropDown="0" showInputMessage="0" showErrorMessage="0" allowBlank="0" type="list" errorStyle="stop" operator="between">
      <formula1>"Adithya,Teammate2,Teammate3"</formula1>
      <formula2>0</formula2>
    </dataValidation>
    <dataValidation sqref="J2:P31" showDropDown="0" showInputMessage="0" showErrorMessage="0" allowBlank="0" type="whole" errorStyle="stop" operator="between">
      <formula1>0</formula1>
      <formula2>100</formula2>
    </dataValidation>
    <dataValidation sqref="F2:H31" showDropDown="0" showInputMessage="0" showErrorMessage="0" allowBlank="0" type="whole" errorStyle="stop" operator="greaterThanOrEqual">
      <formula1>0</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C3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13" min="1" max="1"/>
    <col width="55" customWidth="1" style="13" min="2" max="2"/>
    <col width="45" customWidth="1" style="13" min="3" max="3"/>
  </cols>
  <sheetData>
    <row r="1" ht="17.35" customHeight="1" s="14">
      <c r="A1" s="22" t="inlineStr">
        <is>
          <t>Controlled Vocabularies</t>
        </is>
      </c>
    </row>
    <row r="3" ht="15" customHeight="1" s="14">
      <c r="A3" s="23" t="inlineStr">
        <is>
          <t>Persuasion Techniques (7)</t>
        </is>
      </c>
    </row>
    <row r="4" ht="15" customHeight="1" s="14">
      <c r="A4" s="19" t="inlineStr">
        <is>
          <t>technique</t>
        </is>
      </c>
      <c r="B4" s="19" t="inlineStr">
        <is>
          <t>definition</t>
        </is>
      </c>
      <c r="C4" s="19" t="inlineStr">
        <is>
          <t>example</t>
        </is>
      </c>
    </row>
    <row r="5" ht="15" customHeight="1" s="14">
      <c r="A5" s="24" t="inlineStr">
        <is>
          <t>fear_appeal</t>
        </is>
      </c>
      <c r="B5" s="20" t="inlineStr">
        <is>
          <t>Invokes threat or danger to motivate belief/action.</t>
        </is>
      </c>
      <c r="C5" s="25" t="inlineStr">
        <is>
          <t>If we don't act now, millions will die.</t>
        </is>
      </c>
    </row>
    <row r="6" ht="15" customHeight="1" s="14">
      <c r="A6" s="24" t="inlineStr">
        <is>
          <t>bandwagon</t>
        </is>
      </c>
      <c r="B6" s="20" t="inlineStr">
        <is>
          <t>Appeals to popularity — 'everyone thinks this.'</t>
        </is>
      </c>
      <c r="C6" s="25" t="inlineStr">
        <is>
          <t>Every expert agrees...</t>
        </is>
      </c>
    </row>
    <row r="7" ht="15" customHeight="1" s="14">
      <c r="A7" s="24" t="inlineStr">
        <is>
          <t>loaded_language</t>
        </is>
      </c>
      <c r="B7" s="20" t="inlineStr">
        <is>
          <t>Emotionally charged wording where neutral exists.</t>
        </is>
      </c>
      <c r="C7" s="25" t="inlineStr">
        <is>
          <t>'radical agenda' vs. 'policy proposal'</t>
        </is>
      </c>
    </row>
    <row r="8" ht="15" customHeight="1" s="14">
      <c r="A8" s="24" t="inlineStr">
        <is>
          <t>false_urgency</t>
        </is>
      </c>
      <c r="B8" s="20" t="inlineStr">
        <is>
          <t>Artificial time pressure.</t>
        </is>
      </c>
      <c r="C8" s="25" t="inlineStr">
        <is>
          <t>Before it's too late...</t>
        </is>
      </c>
    </row>
    <row r="9" ht="15" customHeight="1" s="14">
      <c r="A9" s="24" t="inlineStr">
        <is>
          <t>authority_appeal</t>
        </is>
      </c>
      <c r="B9" s="20" t="inlineStr">
        <is>
          <t>Cites credentials instead of evidence.</t>
        </is>
      </c>
      <c r="C9" s="25" t="inlineStr">
        <is>
          <t>As a doctor, I can tell you...</t>
        </is>
      </c>
    </row>
    <row r="10" ht="15" customHeight="1" s="14">
      <c r="A10" s="24" t="inlineStr">
        <is>
          <t>whataboutism</t>
        </is>
      </c>
      <c r="B10" s="20" t="inlineStr">
        <is>
          <t>Deflects criticism by pointing to unrelated wrongs.</t>
        </is>
      </c>
      <c r="C10" s="25" t="inlineStr">
        <is>
          <t>But what about X?</t>
        </is>
      </c>
    </row>
    <row r="11" ht="15" customHeight="1" s="14">
      <c r="A11" s="24" t="inlineStr">
        <is>
          <t>black_and_white</t>
        </is>
      </c>
      <c r="B11" s="20" t="inlineStr">
        <is>
          <t>Presents complex issue as only two options.</t>
        </is>
      </c>
      <c r="C11" s="25" t="inlineStr">
        <is>
          <t>You're either with us or against us.</t>
        </is>
      </c>
    </row>
    <row r="14" ht="15" customHeight="1" s="14">
      <c r="A14" s="23" t="inlineStr">
        <is>
          <t>Narrative Clusters (20 + 'none')</t>
        </is>
      </c>
    </row>
    <row r="15" ht="15" customHeight="1" s="14">
      <c r="A15" s="26" t="inlineStr">
        <is>
          <t>anti_vaccine</t>
        </is>
      </c>
      <c r="B15" s="26" t="inlineStr">
        <is>
          <t>election_fraud</t>
        </is>
      </c>
    </row>
    <row r="16" ht="15" customHeight="1" s="14">
      <c r="A16" s="26" t="inlineStr">
        <is>
          <t>climate_denial</t>
        </is>
      </c>
      <c r="B16" s="26" t="inlineStr">
        <is>
          <t>immigration_threat</t>
        </is>
      </c>
    </row>
    <row r="17" ht="15" customHeight="1" s="14">
      <c r="A17" s="26" t="inlineStr">
        <is>
          <t>economic_doom</t>
        </is>
      </c>
      <c r="B17" s="26" t="inlineStr">
        <is>
          <t>tech_surveillance</t>
        </is>
      </c>
    </row>
    <row r="18" ht="15" customHeight="1" s="14">
      <c r="A18" s="26" t="inlineStr">
        <is>
          <t>elite_conspiracy</t>
        </is>
      </c>
      <c r="B18" s="26" t="inlineStr">
        <is>
          <t>pharma_corruption</t>
        </is>
      </c>
    </row>
    <row r="19" ht="15" customHeight="1" s="14">
      <c r="A19" s="26" t="inlineStr">
        <is>
          <t>media_corruption</t>
        </is>
      </c>
      <c r="B19" s="26" t="inlineStr">
        <is>
          <t>cultural_decline</t>
        </is>
      </c>
    </row>
    <row r="20" ht="15" customHeight="1" s="14">
      <c r="A20" s="26" t="inlineStr">
        <is>
          <t>historical_revisionism</t>
        </is>
      </c>
      <c r="B20" s="26" t="inlineStr">
        <is>
          <t>health_miracle</t>
        </is>
      </c>
    </row>
    <row r="21" ht="15" customHeight="1" s="14">
      <c r="A21" s="26" t="inlineStr">
        <is>
          <t>financial_scam</t>
        </is>
      </c>
      <c r="B21" s="26" t="inlineStr">
        <is>
          <t>geopolitical_blame</t>
        </is>
      </c>
    </row>
    <row r="22" ht="15" customHeight="1" s="14">
      <c r="A22" s="26" t="inlineStr">
        <is>
          <t>crime_panic</t>
        </is>
      </c>
      <c r="B22" s="26" t="inlineStr">
        <is>
          <t>gender_panic</t>
        </is>
      </c>
    </row>
    <row r="23" ht="15" customHeight="1" s="14">
      <c r="A23" s="26" t="inlineStr">
        <is>
          <t>religious_persecution</t>
        </is>
      </c>
      <c r="B23" s="26" t="inlineStr">
        <is>
          <t>food_fear</t>
        </is>
      </c>
    </row>
    <row r="24" ht="15" customHeight="1" s="14">
      <c r="A24" s="26" t="inlineStr">
        <is>
          <t>ai_panic</t>
        </is>
      </c>
      <c r="B24" s="26" t="inlineStr">
        <is>
          <t>none</t>
        </is>
      </c>
    </row>
    <row r="27" ht="15" customHeight="1" s="14">
      <c r="A27" s="23" t="inlineStr">
        <is>
          <t>Claim Types (3)</t>
        </is>
      </c>
    </row>
    <row r="28" ht="15" customHeight="1" s="14">
      <c r="A28" s="24" t="inlineStr">
        <is>
          <t>Verifiable</t>
        </is>
      </c>
      <c r="B28" s="20" t="inlineStr">
        <is>
          <t>Factual claim checkable against public records, data, or authoritative sources.</t>
        </is>
      </c>
      <c r="C28" s="27" t="n"/>
    </row>
    <row r="29" ht="15" customHeight="1" s="14">
      <c r="A29" s="24" t="inlineStr">
        <is>
          <t>Opinion</t>
        </is>
      </c>
      <c r="B29" s="20" t="inlineStr">
        <is>
          <t>Value judgment or interpretation, not a factual assertion.</t>
        </is>
      </c>
      <c r="C29" s="27" t="n"/>
    </row>
    <row r="30" ht="15" customHeight="1" s="14">
      <c r="A30" s="24" t="inlineStr">
        <is>
          <t>Unverifiable</t>
        </is>
      </c>
      <c r="B30" s="20" t="inlineStr">
        <is>
          <t>Claim of fact that cannot practically be checked.</t>
        </is>
      </c>
      <c r="C30" s="27" t="n"/>
    </row>
  </sheetData>
  <mergeCells count="7">
    <mergeCell ref="B30:C30"/>
    <mergeCell ref="B29:C29"/>
    <mergeCell ref="A1:C1"/>
    <mergeCell ref="A14:C14"/>
    <mergeCell ref="B28:C28"/>
    <mergeCell ref="A27:C27"/>
    <mergeCell ref="A3:C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B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5" customWidth="1" style="13" min="1" max="1"/>
    <col width="18" customWidth="1" style="13" min="2" max="2"/>
  </cols>
  <sheetData>
    <row r="1" ht="17.35" customHeight="1" s="14">
      <c r="A1" s="22" t="inlineStr">
        <is>
          <t>Eval Set Summary (auto-computed)</t>
        </is>
      </c>
    </row>
    <row r="3" ht="15" customHeight="1" s="14">
      <c r="A3" s="18" t="inlineStr">
        <is>
          <t>Total articles labeled</t>
        </is>
      </c>
      <c r="B3" s="16">
        <f>COUNTA(Articles!D2:D31)</f>
        <v/>
      </c>
    </row>
    <row r="4" ht="15" customHeight="1" s="14">
      <c r="A4" s="18" t="inlineStr">
        <is>
          <t>Manipulative</t>
        </is>
      </c>
      <c r="B4" s="16">
        <f>COUNTIF(Articles!D2:D31,"manipulative")</f>
        <v/>
      </c>
    </row>
    <row r="5" ht="15" customHeight="1" s="14">
      <c r="A5" s="18" t="inlineStr">
        <is>
          <t>Factual</t>
        </is>
      </c>
      <c r="B5" s="16">
        <f>COUNTIF(Articles!D2:D31,"factual")</f>
        <v/>
      </c>
    </row>
    <row r="6" ht="15" customHeight="1" s="14">
      <c r="A6" s="18" t="inlineStr">
        <is>
          <t>Ambiguous</t>
        </is>
      </c>
      <c r="B6" s="16">
        <f>COUNTIF(Articles!D2:D31,"ambiguous")</f>
        <v/>
      </c>
    </row>
    <row r="7" ht="15" customHeight="1" s="14">
      <c r="A7" s="16" t="n"/>
      <c r="B7" s="16" t="n"/>
    </row>
    <row r="8" ht="15" customHeight="1" s="14">
      <c r="A8" s="18" t="inlineStr">
        <is>
          <t>Avg manipulation_index (manipulative)</t>
        </is>
      </c>
      <c r="B8" s="16">
        <f>IFERROR(AVERAGEIF(Articles!D2:D31,"manipulative",Articles!P2:P31),"-")</f>
        <v/>
      </c>
    </row>
    <row r="9" ht="15" customHeight="1" s="14">
      <c r="A9" s="18" t="inlineStr">
        <is>
          <t>Avg manipulation_index (factual)</t>
        </is>
      </c>
      <c r="B9" s="16">
        <f>IFERROR(AVERAGEIF(Articles!D2:D31,"factual",Articles!P2:P31),"-")</f>
        <v/>
      </c>
    </row>
    <row r="10" ht="15" customHeight="1" s="14">
      <c r="A10" s="18" t="inlineStr">
        <is>
          <t>Avg manipulation_index (ambiguous)</t>
        </is>
      </c>
      <c r="B10" s="16">
        <f>IFERROR(AVERAGEIF(Articles!D2:D31,"ambiguous",Articles!P2:P31),"-")</f>
        <v/>
      </c>
    </row>
    <row r="11" ht="15" customHeight="1" s="14">
      <c r="A11" s="16" t="n"/>
      <c r="B11" s="16" t="n"/>
    </row>
    <row r="12" ht="15" customHeight="1" s="14">
      <c r="A12" s="18" t="inlineStr">
        <is>
          <t>Labeled by Adithya</t>
        </is>
      </c>
      <c r="B12" s="16">
        <f>COUNTIF(Articles!S2:S31,"Adithya")</f>
        <v/>
      </c>
    </row>
    <row r="13" ht="15" customHeight="1" s="14">
      <c r="A13" s="18" t="inlineStr">
        <is>
          <t>Labeled by Teammate2</t>
        </is>
      </c>
      <c r="B13" s="16">
        <f>COUNTIF(Articles!S2:S31,"Teammate2")</f>
        <v/>
      </c>
    </row>
    <row r="14" ht="15" customHeight="1" s="14">
      <c r="A14" s="18" t="inlineStr">
        <is>
          <t>Labeled by Teammate3</t>
        </is>
      </c>
      <c r="B14" s="16">
        <f>COUNTIF(Articles!S2:S31,"Teammate3")</f>
        <v/>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2026-04-07T19:58:40Z</dcterms:created>
  <dcterms:modified xmlns:dcterms="http://purl.org/dc/terms/" xmlns:xsi="http://www.w3.org/2001/XMLSchema-instance" xsi:type="dcterms:W3CDTF">2026-04-07T20:48:29Z</dcterms:modified>
  <cp:revision>0</cp:revision>
</cp:coreProperties>
</file>